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Icun\G\Rafi CBN\cbn-fiber-database\"/>
    </mc:Choice>
  </mc:AlternateContent>
  <xr:revisionPtr revIDLastSave="0" documentId="13_ncr:1_{33CD293F-1BC4-4B43-9B2B-D3C5AD334152}" xr6:coauthVersionLast="47" xr6:coauthVersionMax="47" xr10:uidLastSave="{00000000-0000-0000-0000-000000000000}"/>
  <bookViews>
    <workbookView xWindow="-96" yWindow="0" windowWidth="11712" windowHeight="13776" firstSheet="1" activeTab="1" xr2:uid="{00000000-000D-0000-FFFF-FFFF00000000}"/>
  </bookViews>
  <sheets>
    <sheet name="Regular Promo" sheetId="2" r:id="rId1"/>
    <sheet name="Regular Promo_CBN Fiber Safe" sheetId="12" r:id="rId2"/>
    <sheet name="SOHO PRO" sheetId="16" r:id="rId3"/>
    <sheet name="Regular PIK 1 JMS Area" sheetId="13" r:id="rId4"/>
    <sheet name="Regular PIK 2 JMS Area" sheetId="14" r:id="rId5"/>
    <sheet name="Regular PIK Golf Island" sheetId="15" r:id="rId6"/>
    <sheet name="VAS Package" sheetId="17" r:id="rId7"/>
  </sheets>
  <definedNames>
    <definedName name="Excel_BuiltIn__FilterDatabase_4" localSheetId="3">#REF!</definedName>
    <definedName name="Excel_BuiltIn__FilterDatabase_4" localSheetId="4">#REF!</definedName>
    <definedName name="Excel_BuiltIn__FilterDatabase_4" localSheetId="5">#REF!</definedName>
    <definedName name="Excel_BuiltIn__FilterDatabase_4" localSheetId="0">#REF!</definedName>
    <definedName name="Excel_BuiltIn__FilterDatabase_4" localSheetId="1">#REF!</definedName>
    <definedName name="Excel_BuiltIn__FilterDatabase_4" localSheetId="2">#REF!</definedName>
    <definedName name="Excel_BuiltIn__FilterDatabase_4" localSheetId="6">#REF!</definedName>
    <definedName name="Excel_BuiltIn__FilterDatabase_4">#REF!</definedName>
    <definedName name="Excel_BuiltIn__FilterDatabase_4_1">"$#REF!.$A$8:$AG$170"</definedName>
    <definedName name="Excel_BuiltIn__FilterDatabase_6" localSheetId="3">#REF!</definedName>
    <definedName name="Excel_BuiltIn__FilterDatabase_6" localSheetId="4">#REF!</definedName>
    <definedName name="Excel_BuiltIn__FilterDatabase_6" localSheetId="5">#REF!</definedName>
    <definedName name="Excel_BuiltIn__FilterDatabase_6" localSheetId="0">#REF!</definedName>
    <definedName name="Excel_BuiltIn__FilterDatabase_6" localSheetId="1">#REF!</definedName>
    <definedName name="Excel_BuiltIn__FilterDatabase_6" localSheetId="2">#REF!</definedName>
    <definedName name="Excel_BuiltIn__FilterDatabase_6" localSheetId="6">#REF!</definedName>
    <definedName name="Excel_BuiltIn__FilterDatabase_6">#REF!</definedName>
    <definedName name="Excel_BuiltIn_Print_Area_5" localSheetId="6">#REF!</definedName>
    <definedName name="Excel_BuiltIn_Print_Area_5">#REF!</definedName>
    <definedName name="Excel_BuiltIn_Print_Titles_2" localSheetId="6">#REF!</definedName>
    <definedName name="Excel_BuiltIn_Print_Titles_2">#REF!</definedName>
    <definedName name="Excel_BuiltIn_Print_Titles_2_1">"$#REF!.$A$5:$IV$8"</definedName>
    <definedName name="Excel_BuiltIn_Print_Titles_4">"$#REF!.$A$5:$IV$8"</definedName>
    <definedName name="FIlter_Database_5" localSheetId="6">#REF!</definedName>
    <definedName name="FIlter_Database_5">#REF!</definedName>
    <definedName name="q" localSheetId="3">#REF!</definedName>
    <definedName name="q" localSheetId="4">#REF!</definedName>
    <definedName name="q" localSheetId="5">#REF!</definedName>
    <definedName name="q" localSheetId="0">#REF!</definedName>
    <definedName name="q" localSheetId="1">#REF!</definedName>
    <definedName name="q" localSheetId="2">#REF!</definedName>
    <definedName name="q" localSheetId="6">#REF!</definedName>
    <definedName name="q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5" l="1"/>
  <c r="D41" i="15"/>
  <c r="D40" i="15"/>
  <c r="D34" i="14"/>
  <c r="D35" i="14"/>
  <c r="D33" i="14"/>
  <c r="D35" i="13"/>
  <c r="D36" i="13"/>
  <c r="D34" i="13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7" i="17"/>
  <c r="D57" i="15"/>
  <c r="D56" i="15"/>
  <c r="D55" i="15"/>
  <c r="D50" i="15"/>
  <c r="D49" i="15"/>
  <c r="D48" i="15"/>
  <c r="D34" i="15"/>
  <c r="D33" i="15"/>
  <c r="D32" i="15"/>
  <c r="D31" i="15"/>
  <c r="D30" i="15"/>
  <c r="D29" i="15"/>
  <c r="D22" i="15"/>
  <c r="D21" i="15"/>
  <c r="D20" i="15"/>
  <c r="D19" i="15"/>
  <c r="D18" i="15"/>
  <c r="D17" i="15"/>
  <c r="D50" i="14"/>
  <c r="D49" i="14"/>
  <c r="D48" i="14"/>
  <c r="D43" i="14"/>
  <c r="D42" i="14"/>
  <c r="D41" i="14"/>
  <c r="D28" i="14"/>
  <c r="D27" i="14"/>
  <c r="D26" i="14"/>
  <c r="D25" i="14"/>
  <c r="D24" i="14"/>
  <c r="D18" i="14"/>
  <c r="D17" i="14"/>
  <c r="D16" i="14"/>
  <c r="D15" i="14"/>
  <c r="D14" i="14"/>
  <c r="D51" i="13"/>
  <c r="D50" i="13"/>
  <c r="D49" i="13"/>
  <c r="D44" i="13"/>
  <c r="D43" i="13"/>
  <c r="D42" i="13"/>
  <c r="D28" i="13"/>
  <c r="D27" i="13"/>
  <c r="D26" i="13"/>
  <c r="D25" i="13"/>
  <c r="D24" i="13"/>
  <c r="D18" i="13"/>
  <c r="D17" i="13"/>
  <c r="D16" i="13"/>
  <c r="D15" i="13"/>
  <c r="D14" i="13"/>
  <c r="D20" i="16"/>
  <c r="D19" i="16"/>
  <c r="D13" i="16"/>
  <c r="D12" i="16"/>
  <c r="D35" i="12"/>
  <c r="D34" i="12"/>
  <c r="D33" i="12"/>
  <c r="D32" i="12"/>
  <c r="D31" i="12"/>
  <c r="D30" i="12"/>
  <c r="D29" i="12"/>
  <c r="D23" i="12"/>
  <c r="D22" i="12"/>
  <c r="D21" i="12"/>
  <c r="D20" i="12"/>
  <c r="D19" i="12"/>
  <c r="D18" i="12"/>
  <c r="D17" i="12"/>
  <c r="D29" i="2"/>
  <c r="D28" i="2"/>
  <c r="D27" i="2"/>
  <c r="D26" i="2"/>
  <c r="D25" i="2"/>
  <c r="D19" i="2"/>
  <c r="D18" i="2"/>
  <c r="D17" i="2"/>
  <c r="D16" i="2"/>
  <c r="D15" i="2"/>
</calcChain>
</file>

<file path=xl/sharedStrings.xml><?xml version="1.0" encoding="utf-8"?>
<sst xmlns="http://schemas.openxmlformats.org/spreadsheetml/2006/main" count="374" uniqueCount="120">
  <si>
    <t>Promo Name: Regular Promo July 2026 - NAB</t>
  </si>
  <si>
    <t>No</t>
  </si>
  <si>
    <t>Package Name</t>
  </si>
  <si>
    <t>Setup Fee</t>
  </si>
  <si>
    <t>Basic Price</t>
  </si>
  <si>
    <t>CBN Fiber 20</t>
  </si>
  <si>
    <t>Free</t>
  </si>
  <si>
    <t>CBN Fiber 100</t>
  </si>
  <si>
    <t>CBN Fiber 150</t>
  </si>
  <si>
    <t>CBN Fiber 200</t>
  </si>
  <si>
    <t>CBN Fiber 300</t>
  </si>
  <si>
    <t>Promo Name: Regular Promo July 2026 - Bill in Advance Pay 5 Get 6 - NAB</t>
  </si>
  <si>
    <t>Advance Pay 6 Mth</t>
  </si>
  <si>
    <t>Total payment</t>
  </si>
  <si>
    <t xml:space="preserve">Promo Name: Regular Promo July 2026 - Bill in Advance Pay 9 Get 12 - NAB </t>
  </si>
  <si>
    <t>Advance Pay 12 Mth</t>
  </si>
  <si>
    <t>CBN Fiber Safe 20</t>
  </si>
  <si>
    <t>CBN Fiber Safe 100</t>
  </si>
  <si>
    <t>CBN Fiber Safe 150</t>
  </si>
  <si>
    <t>CBN Fiber Safe 200</t>
  </si>
  <si>
    <t>CBN Fiber Safe 300</t>
  </si>
  <si>
    <t>CBN Fiber Safe 500</t>
  </si>
  <si>
    <t>CBN Fiber Safe 1Gbps</t>
  </si>
  <si>
    <t>Promo Name: Regular Promo Juli 2025 - SOHO PRO</t>
  </si>
  <si>
    <t>CBN Fiber PRO 100</t>
  </si>
  <si>
    <t>CBN Fiber PRO 200</t>
  </si>
  <si>
    <t>Promo Name: Regular Promo Juli 2025 - SOHO PRO - Bill in Advance Pay 6 Get 7</t>
  </si>
  <si>
    <t>Advance Pay 7 Mth</t>
  </si>
  <si>
    <t>Promo Name: Regular Promo Juli 2025 - SOHO PRO - Bill in Advance Pay 12 Get 15</t>
  </si>
  <si>
    <t>Advance Pay 15 Mth</t>
  </si>
  <si>
    <t>Promo Name: Regular Promo June 2024 - PIK 1 JMS Area</t>
  </si>
  <si>
    <t>CBN Fiber 50</t>
  </si>
  <si>
    <t>CBN Fiber  100</t>
  </si>
  <si>
    <t>CBN Fiber  300</t>
  </si>
  <si>
    <t>CBN Fiber 500</t>
  </si>
  <si>
    <t>CBN Fiber 1GB</t>
  </si>
  <si>
    <t>Promo Name: Regular Promo June 2024 - PIK 1 JMS Area - Bill in Advance Pay 6 Get 7</t>
  </si>
  <si>
    <t>CBN Fiber 1Gb</t>
  </si>
  <si>
    <t>Promo Name: Regular Promo June 2024 - PIK 1 JMS Area - Bill in Advance Pay 12 Get 14</t>
  </si>
  <si>
    <t>Advance Pay 14 Mth</t>
  </si>
  <si>
    <t>Promo Name: Fiber SOHO Promo - PIK 1 Area June 2024</t>
  </si>
  <si>
    <t>CBN Fiber SOHO 50</t>
  </si>
  <si>
    <t>CBN Fiber SOHO 80</t>
  </si>
  <si>
    <t>CBN Fiber SOHO 100</t>
  </si>
  <si>
    <t>Promo Name: Fiber SOHO Promo - PIK 1 Area - Bill in Advance Pay 6 Get 7 June 2024</t>
  </si>
  <si>
    <t>Promo Name: Fiber SOHO Promo - PIK 1 Area - Bill in Advance Pay 12 Get 14 June 2024</t>
  </si>
  <si>
    <t>Promo Name: Regular Promo July 2024 - PIK 2 JMS Area</t>
  </si>
  <si>
    <t>Promo Name: Regular Promo July 2024 - PIK 2 JMS Area - Bill in Advance Pay 6 Get 7</t>
  </si>
  <si>
    <t>Promo Name: Regular Promo July 2024 - PIK 2 JMS Area - Bill in Advance Pay 12 Get 14</t>
  </si>
  <si>
    <t>Promo Name: Fiber SOHO Promo - PIK 2 Area May 2024</t>
  </si>
  <si>
    <t>Promo Name: Fiber SOHO Promo - PIK 2 Area - Bill in Advance Pay 6 Get 7 June 2024</t>
  </si>
  <si>
    <t>Promo Name: Fiber SOHO Promo - PIK 2 Area - Bill in Advance Pay 12 Get 14 June 2024</t>
  </si>
  <si>
    <t>Promo Name: Regular Promo Maret 2025 - Golf Island Area</t>
  </si>
  <si>
    <t>CBN Fiber  75</t>
  </si>
  <si>
    <t>CBN Fiber 1Gbps</t>
  </si>
  <si>
    <t>Promo Name: Regular Promo Maret 2025 - Golf Island Area - Bill in Advance Pay 6 Get 7</t>
  </si>
  <si>
    <t>Promo Name: Regular Promo Maret 2025 - Golf Island Area - Bill in Advance Pay 12 Get 14</t>
  </si>
  <si>
    <t>Promo Name: Fiber SOHO Promo - Golf Island Area May 2024</t>
  </si>
  <si>
    <t>Promo Name: Fiber SOHO Promo - Golf Island Area - Bill in Advance Pay 6 Get 7 May 2024</t>
  </si>
  <si>
    <t>Promo Name: Fiber SOHO Promo - Golf Island Area - Bill in Advance Pay 12 Get 14 May 2024</t>
  </si>
  <si>
    <t>VAS Package Berbayar</t>
  </si>
  <si>
    <t>Content</t>
  </si>
  <si>
    <t>Bundling Price/Mth</t>
  </si>
  <si>
    <t>DramaFlix +50Mbps</t>
  </si>
  <si>
    <t>CUBMU Premium</t>
  </si>
  <si>
    <t>Genflix Premium</t>
  </si>
  <si>
    <t>XtraSpeed +50Mbps</t>
  </si>
  <si>
    <t>DensTV STB</t>
  </si>
  <si>
    <t>Dens TV Android Box</t>
  </si>
  <si>
    <t>Dens Go Premium</t>
  </si>
  <si>
    <t>DensTV STB V.3</t>
  </si>
  <si>
    <t>Dens TV Android Box V.3</t>
  </si>
  <si>
    <t>GamersCode Excite +50Mbps</t>
  </si>
  <si>
    <t>GamersCode Excite</t>
  </si>
  <si>
    <t>Weekly Diamond Pass +50Mbps</t>
  </si>
  <si>
    <t>Weekly Diamond Pass</t>
  </si>
  <si>
    <t>Stream Pack New +50Mbps</t>
  </si>
  <si>
    <t>Dens Go Lite</t>
  </si>
  <si>
    <t>Vision+ Premium Sport</t>
  </si>
  <si>
    <t>Lifestyle Pack +50Mbps</t>
  </si>
  <si>
    <t>Lifestyle Pack V.3 +50Mbps</t>
  </si>
  <si>
    <t>MNC Vision+ Premium Sport</t>
  </si>
  <si>
    <t>MNC Vision+ Premium BeIN Sports</t>
  </si>
  <si>
    <t>Vision+ BeIN Sports</t>
  </si>
  <si>
    <t>MNC Vision+ Premium Ultimate</t>
  </si>
  <si>
    <t>Vision+ Premium Ultimate</t>
  </si>
  <si>
    <t>Vidio Platinum</t>
  </si>
  <si>
    <t>Vidio Platinum Extra</t>
  </si>
  <si>
    <t>Vidio Ultimate</t>
  </si>
  <si>
    <t>Trend Micro Mobile Security - 1 Device</t>
  </si>
  <si>
    <t>Mobile Security</t>
  </si>
  <si>
    <t>Trend Micro Maximum Security - 1 Device</t>
  </si>
  <si>
    <t>Maximum Security</t>
  </si>
  <si>
    <t>Trend Micro Maximum Security - 3 Device</t>
  </si>
  <si>
    <t>Trend Micro Maximum Security - 5 Device</t>
  </si>
  <si>
    <t>Trend Micro Mobile Security Plus + VPN - 1 Device</t>
  </si>
  <si>
    <t>Mobile Security Plus + VPN</t>
  </si>
  <si>
    <t>Trend Micro Maximum Security Plus + VPN - 1 Device</t>
  </si>
  <si>
    <t>Maximum Security Plus + VPN</t>
  </si>
  <si>
    <t>Trend Micro Device Security Pro - 1 Device</t>
  </si>
  <si>
    <t>Device Security Pro</t>
  </si>
  <si>
    <t>Trend Micro ID Protection - 1 Device</t>
  </si>
  <si>
    <t>ID Protection</t>
  </si>
  <si>
    <t>DensTV STB V.3 (Area JMS)</t>
  </si>
  <si>
    <t>XtraSpeed +25Mbps</t>
  </si>
  <si>
    <t>VAS Package Free</t>
  </si>
  <si>
    <t>CBN Fiber July 2026 Package 1 (15 &amp; 20 Mbps)</t>
  </si>
  <si>
    <t>Cbn Fiber July 2026 Package 2 (100, 150, &amp; 200 Mbps)</t>
  </si>
  <si>
    <t>Cbn Fiber July 2026 Package 3 (300 Mbps)</t>
  </si>
  <si>
    <t>CBN Fiber Safe July 2026 Package 1 (15 &amp; 20 Mbps)</t>
  </si>
  <si>
    <t>CBN Fiber Safe July 2026 Package 2 (100, 150 &amp; 200 Mbps)</t>
  </si>
  <si>
    <t>CBN Fiber Safe July 2026 Package 3 (300 Mbps)</t>
  </si>
  <si>
    <t>Cbn Fiber Safe July 2026 Package 4 (500 &amp; 1Gbps)</t>
  </si>
  <si>
    <t>Trend Micro Maximum Scurity 1 Months - 1 Device (Free)</t>
  </si>
  <si>
    <t>Genflix Premium (Free)</t>
  </si>
  <si>
    <t>Cubmu Lite (Free)</t>
  </si>
  <si>
    <t>Speedboost +50Mbps</t>
  </si>
  <si>
    <t>Speedboost +25Mbps</t>
  </si>
  <si>
    <t>Dens Go Premium (Free)</t>
  </si>
  <si>
    <t>Drama Hits (Free)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</si>
</sst>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5" formatCode="_-* #,##0.00_-;\-* #,##0.00_-;_-* &quot;-&quot;??_-;_-@_-"/>
    <numFmt numFmtId="166" formatCode="_(* #,##0_);_(* \(#,##0\);_(* &quot;-&quot;??_);_(@_)"/>
    <numFmt numFmtId="167" formatCode="_-* #,##0_-;\-* #,##0_-;_-* &quot;-&quot;??_-;_-@_-"/>
  </numFmts>
  <fonts count="1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333333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medium">
        <color theme="4" tint="0.39994506668294322"/>
      </bottom>
      <diagonal/>
    </border>
  </borders>
  <cellStyleXfs count="11">
    <xf numFmtId="0" fontId="0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9" fillId="0" borderId="0" applyFont="0" applyFill="0" applyBorder="0" applyAlignment="0" applyProtection="0"/>
    <xf numFmtId="0" fontId="10" fillId="0" borderId="0"/>
    <xf numFmtId="0" fontId="8" fillId="0" borderId="7" applyNumberFormat="0" applyFill="0" applyAlignment="0" applyProtection="0"/>
    <xf numFmtId="0" fontId="9" fillId="0" borderId="0"/>
    <xf numFmtId="0" fontId="9" fillId="0" borderId="0"/>
  </cellStyleXfs>
  <cellXfs count="5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/>
    <xf numFmtId="166" fontId="0" fillId="0" borderId="2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  <xf numFmtId="0" fontId="5" fillId="4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166" fontId="0" fillId="0" borderId="5" xfId="4" applyNumberFormat="1" applyFont="1" applyFill="1" applyBorder="1" applyAlignment="1">
      <alignment horizontal="right"/>
    </xf>
    <xf numFmtId="166" fontId="0" fillId="0" borderId="5" xfId="4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4" applyNumberFormat="1" applyFont="1" applyFill="1" applyAlignment="1">
      <alignment horizontal="right"/>
    </xf>
    <xf numFmtId="166" fontId="0" fillId="0" borderId="0" xfId="4" applyNumberFormat="1" applyFont="1" applyFill="1"/>
    <xf numFmtId="0" fontId="0" fillId="3" borderId="0" xfId="0" applyFill="1"/>
    <xf numFmtId="0" fontId="1" fillId="5" borderId="6" xfId="0" applyFont="1" applyFill="1" applyBorder="1"/>
    <xf numFmtId="166" fontId="0" fillId="0" borderId="0" xfId="1" applyNumberFormat="1" applyFont="1"/>
    <xf numFmtId="167" fontId="0" fillId="0" borderId="5" xfId="3" applyNumberFormat="1" applyFont="1" applyFill="1" applyBorder="1" applyAlignment="1">
      <alignment horizontal="center"/>
    </xf>
    <xf numFmtId="167" fontId="0" fillId="0" borderId="0" xfId="3" applyNumberFormat="1" applyFont="1" applyFill="1" applyAlignment="1">
      <alignment horizontal="center"/>
    </xf>
    <xf numFmtId="167" fontId="0" fillId="0" borderId="0" xfId="3" applyNumberFormat="1" applyFont="1" applyFill="1" applyBorder="1" applyAlignment="1">
      <alignment horizontal="center"/>
    </xf>
    <xf numFmtId="166" fontId="0" fillId="0" borderId="0" xfId="4" applyNumberFormat="1" applyFont="1" applyFill="1" applyBorder="1" applyAlignment="1">
      <alignment horizontal="center"/>
    </xf>
    <xf numFmtId="0" fontId="1" fillId="6" borderId="6" xfId="0" applyFont="1" applyFill="1" applyBorder="1"/>
    <xf numFmtId="0" fontId="0" fillId="0" borderId="5" xfId="0" applyBorder="1"/>
    <xf numFmtId="9" fontId="0" fillId="0" borderId="0" xfId="2" applyFont="1" applyBorder="1" applyAlignment="1">
      <alignment horizontal="center"/>
    </xf>
    <xf numFmtId="166" fontId="0" fillId="0" borderId="0" xfId="4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3" fontId="7" fillId="0" borderId="5" xfId="0" applyNumberFormat="1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6" fontId="0" fillId="0" borderId="2" xfId="1" applyNumberFormat="1" applyFont="1" applyFill="1" applyBorder="1" applyAlignment="1">
      <alignment horizontal="center" vertical="center"/>
    </xf>
    <xf numFmtId="166" fontId="0" fillId="0" borderId="3" xfId="1" applyNumberFormat="1" applyFont="1" applyFill="1" applyBorder="1" applyAlignment="1">
      <alignment horizontal="center" vertical="center"/>
    </xf>
    <xf numFmtId="166" fontId="0" fillId="0" borderId="4" xfId="1" applyNumberFormat="1" applyFont="1" applyFill="1" applyBorder="1" applyAlignment="1">
      <alignment horizontal="center" vertical="center"/>
    </xf>
    <xf numFmtId="166" fontId="0" fillId="0" borderId="2" xfId="1" applyNumberFormat="1" applyFont="1" applyFill="1" applyBorder="1" applyAlignment="1">
      <alignment horizontal="left" vertical="center"/>
    </xf>
    <xf numFmtId="166" fontId="0" fillId="0" borderId="3" xfId="1" applyNumberFormat="1" applyFont="1" applyFill="1" applyBorder="1" applyAlignment="1">
      <alignment horizontal="left" vertical="center"/>
    </xf>
    <xf numFmtId="166" fontId="0" fillId="0" borderId="2" xfId="1" applyNumberFormat="1" applyFont="1" applyBorder="1" applyAlignment="1">
      <alignment horizontal="left" vertical="center"/>
    </xf>
    <xf numFmtId="166" fontId="0" fillId="0" borderId="3" xfId="1" applyNumberFormat="1" applyFont="1" applyBorder="1" applyAlignment="1">
      <alignment horizontal="left" vertical="center"/>
    </xf>
  </cellXfs>
  <cellStyles count="11">
    <cellStyle name="Comma" xfId="1" builtinId="3"/>
    <cellStyle name="Comma 2" xfId="6" xr:uid="{00000000-0005-0000-0000-000034000000}"/>
    <cellStyle name="Comma 3" xfId="4" xr:uid="{00000000-0005-0000-0000-000032000000}"/>
    <cellStyle name="Comma 4" xfId="3" xr:uid="{00000000-0005-0000-0000-000031000000}"/>
    <cellStyle name="Heading 3 2" xfId="8" xr:uid="{00000000-0005-0000-0000-000036000000}"/>
    <cellStyle name="Normal" xfId="0" builtinId="0"/>
    <cellStyle name="Normal 2" xfId="10" xr:uid="{00000000-0005-0000-0000-000038000000}"/>
    <cellStyle name="Normal 2 2" xfId="7" xr:uid="{00000000-0005-0000-0000-000035000000}"/>
    <cellStyle name="Normal 2 2 2" xfId="5" xr:uid="{00000000-0005-0000-0000-000033000000}"/>
    <cellStyle name="Normal 4 2" xfId="9" xr:uid="{00000000-0005-0000-0000-000037000000}"/>
    <cellStyle name="Percent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33"/>
  <sheetViews>
    <sheetView zoomScale="83" zoomScaleNormal="83" workbookViewId="0">
      <selection activeCell="E7" sqref="E7"/>
    </sheetView>
  </sheetViews>
  <sheetFormatPr defaultColWidth="8.88671875" defaultRowHeight="14.4"/>
  <cols>
    <col min="1" max="1" width="3" customWidth="1"/>
    <col min="2" max="2" width="5.33203125" customWidth="1"/>
    <col min="3" max="3" width="37.6640625" customWidth="1"/>
    <col min="4" max="4" width="31.5546875" customWidth="1"/>
    <col min="5" max="5" width="27.6640625" customWidth="1"/>
    <col min="6" max="6" width="32" customWidth="1"/>
    <col min="7" max="7" width="15.6640625" customWidth="1"/>
    <col min="8" max="8" width="17" customWidth="1"/>
    <col min="9" max="9" width="24" customWidth="1"/>
    <col min="10" max="10" width="9.21875" customWidth="1"/>
    <col min="11" max="11" width="10.109375" customWidth="1"/>
    <col min="12" max="12" width="21.109375" customWidth="1"/>
    <col min="13" max="13" width="11.88671875" customWidth="1"/>
    <col min="14" max="14" width="12.5546875" customWidth="1"/>
    <col min="15" max="15" width="10.109375" customWidth="1"/>
    <col min="19" max="19" width="13.109375" customWidth="1"/>
  </cols>
  <sheetData>
    <row r="1" spans="2:10" ht="21">
      <c r="C1" s="12"/>
    </row>
    <row r="2" spans="2:10" ht="18">
      <c r="B2" s="13" t="s">
        <v>0</v>
      </c>
      <c r="C2" s="13"/>
      <c r="D2" s="14"/>
    </row>
    <row r="3" spans="2:10">
      <c r="B3" s="1"/>
      <c r="C3" s="1"/>
      <c r="F3" s="1"/>
    </row>
    <row r="4" spans="2:10">
      <c r="B4" s="15" t="s">
        <v>1</v>
      </c>
      <c r="C4" s="15" t="s">
        <v>2</v>
      </c>
      <c r="D4" s="15" t="s">
        <v>3</v>
      </c>
      <c r="F4" s="15" t="s">
        <v>4</v>
      </c>
    </row>
    <row r="5" spans="2:10">
      <c r="B5" s="16">
        <v>1</v>
      </c>
      <c r="C5" s="32" t="s">
        <v>5</v>
      </c>
      <c r="D5" s="18" t="s">
        <v>6</v>
      </c>
      <c r="F5" s="19">
        <v>169000</v>
      </c>
    </row>
    <row r="6" spans="2:10">
      <c r="B6" s="16">
        <v>2</v>
      </c>
      <c r="C6" s="32" t="s">
        <v>7</v>
      </c>
      <c r="D6" s="18" t="s">
        <v>6</v>
      </c>
      <c r="F6" s="19">
        <v>199000</v>
      </c>
    </row>
    <row r="7" spans="2:10">
      <c r="B7" s="16">
        <v>3</v>
      </c>
      <c r="C7" s="32" t="s">
        <v>8</v>
      </c>
      <c r="D7" s="18" t="s">
        <v>6</v>
      </c>
      <c r="F7" s="19">
        <v>229000</v>
      </c>
    </row>
    <row r="8" spans="2:10">
      <c r="B8" s="16">
        <v>4</v>
      </c>
      <c r="C8" s="32" t="s">
        <v>9</v>
      </c>
      <c r="D8" s="18" t="s">
        <v>6</v>
      </c>
      <c r="F8" s="19">
        <v>339000</v>
      </c>
    </row>
    <row r="9" spans="2:10">
      <c r="B9" s="16">
        <v>5</v>
      </c>
      <c r="C9" s="32" t="s">
        <v>10</v>
      </c>
      <c r="D9" s="18" t="s">
        <v>6</v>
      </c>
      <c r="F9" s="19">
        <v>429000</v>
      </c>
    </row>
    <row r="12" spans="2:10" ht="18">
      <c r="B12" s="13" t="s">
        <v>11</v>
      </c>
      <c r="C12" s="13"/>
      <c r="D12" s="14"/>
      <c r="E12" s="14"/>
      <c r="F12" s="24"/>
    </row>
    <row r="13" spans="2:10">
      <c r="D13" s="25" t="s">
        <v>12</v>
      </c>
      <c r="J13" s="26"/>
    </row>
    <row r="14" spans="2:10">
      <c r="B14" s="15" t="s">
        <v>1</v>
      </c>
      <c r="C14" s="15" t="s">
        <v>2</v>
      </c>
      <c r="D14" s="15" t="s">
        <v>13</v>
      </c>
      <c r="J14" s="26"/>
    </row>
    <row r="15" spans="2:10">
      <c r="B15" s="16">
        <v>1</v>
      </c>
      <c r="C15" s="32" t="s">
        <v>5</v>
      </c>
      <c r="D15" s="27">
        <f t="shared" ref="D15:D19" si="0">F5*5</f>
        <v>845000</v>
      </c>
    </row>
    <row r="16" spans="2:10">
      <c r="B16" s="16">
        <v>2</v>
      </c>
      <c r="C16" s="32" t="s">
        <v>7</v>
      </c>
      <c r="D16" s="27">
        <f t="shared" si="0"/>
        <v>995000</v>
      </c>
    </row>
    <row r="17" spans="2:14">
      <c r="B17" s="16">
        <v>3</v>
      </c>
      <c r="C17" s="32" t="s">
        <v>8</v>
      </c>
      <c r="D17" s="27">
        <f t="shared" si="0"/>
        <v>1145000</v>
      </c>
    </row>
    <row r="18" spans="2:14">
      <c r="B18" s="16">
        <v>4</v>
      </c>
      <c r="C18" s="32" t="s">
        <v>9</v>
      </c>
      <c r="D18" s="27">
        <f t="shared" si="0"/>
        <v>1695000</v>
      </c>
    </row>
    <row r="19" spans="2:14">
      <c r="B19" s="16">
        <v>5</v>
      </c>
      <c r="C19" s="32" t="s">
        <v>10</v>
      </c>
      <c r="D19" s="27">
        <f t="shared" si="0"/>
        <v>2145000</v>
      </c>
    </row>
    <row r="21" spans="2:14">
      <c r="B21" s="20"/>
      <c r="D21" s="29"/>
      <c r="E21" s="30"/>
      <c r="F21" s="30"/>
      <c r="G21" s="30"/>
      <c r="H21" s="30"/>
    </row>
    <row r="22" spans="2:14" ht="18">
      <c r="B22" s="13" t="s">
        <v>14</v>
      </c>
      <c r="C22" s="24"/>
      <c r="D22" s="24"/>
      <c r="E22" s="24"/>
      <c r="F22" s="24"/>
      <c r="N22" s="26"/>
    </row>
    <row r="23" spans="2:14">
      <c r="D23" s="31" t="s">
        <v>15</v>
      </c>
      <c r="J23" s="26"/>
    </row>
    <row r="24" spans="2:14">
      <c r="B24" s="15" t="s">
        <v>1</v>
      </c>
      <c r="C24" s="15" t="s">
        <v>2</v>
      </c>
      <c r="D24" s="15" t="s">
        <v>13</v>
      </c>
    </row>
    <row r="25" spans="2:14">
      <c r="B25" s="16">
        <v>1</v>
      </c>
      <c r="C25" s="32" t="s">
        <v>5</v>
      </c>
      <c r="D25" s="27">
        <f t="shared" ref="D25:D29" si="1">F5*9</f>
        <v>1521000</v>
      </c>
      <c r="J25" s="26"/>
    </row>
    <row r="26" spans="2:14">
      <c r="B26" s="16">
        <v>2</v>
      </c>
      <c r="C26" s="32" t="s">
        <v>7</v>
      </c>
      <c r="D26" s="27">
        <f t="shared" si="1"/>
        <v>1791000</v>
      </c>
      <c r="J26" s="26"/>
    </row>
    <row r="27" spans="2:14">
      <c r="B27" s="16">
        <v>3</v>
      </c>
      <c r="C27" s="32" t="s">
        <v>8</v>
      </c>
      <c r="D27" s="27">
        <f t="shared" si="1"/>
        <v>2061000</v>
      </c>
    </row>
    <row r="28" spans="2:14">
      <c r="B28" s="16">
        <v>4</v>
      </c>
      <c r="C28" s="32" t="s">
        <v>9</v>
      </c>
      <c r="D28" s="27">
        <f t="shared" si="1"/>
        <v>3051000</v>
      </c>
    </row>
    <row r="29" spans="2:14">
      <c r="B29" s="16">
        <v>5</v>
      </c>
      <c r="C29" s="32" t="s">
        <v>10</v>
      </c>
      <c r="D29" s="27">
        <f t="shared" si="1"/>
        <v>3861000</v>
      </c>
    </row>
    <row r="30" spans="2:14">
      <c r="B30" s="20"/>
      <c r="D30" s="29"/>
      <c r="E30" s="30"/>
      <c r="F30" s="30"/>
      <c r="G30" s="30"/>
      <c r="H30" s="30"/>
    </row>
    <row r="32" spans="2:14">
      <c r="B32" s="20"/>
      <c r="D32" s="33"/>
      <c r="E32" s="34"/>
    </row>
    <row r="33" spans="3:3">
      <c r="C33" s="35"/>
    </row>
  </sheetData>
  <pageMargins left="0.25" right="0.25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N40"/>
  <sheetViews>
    <sheetView tabSelected="1" topLeftCell="C1" zoomScale="83" zoomScaleNormal="83" workbookViewId="0">
      <selection activeCell="D17" sqref="D17"/>
    </sheetView>
  </sheetViews>
  <sheetFormatPr defaultColWidth="8.88671875" defaultRowHeight="14.4"/>
  <cols>
    <col min="1" max="1" width="3" customWidth="1"/>
    <col min="2" max="2" width="5.33203125" customWidth="1"/>
    <col min="3" max="3" width="37.6640625" customWidth="1"/>
    <col min="4" max="4" width="31.5546875" customWidth="1"/>
    <col min="5" max="5" width="27.6640625" customWidth="1"/>
    <col min="6" max="6" width="32" customWidth="1"/>
    <col min="7" max="7" width="15.6640625" customWidth="1"/>
    <col min="8" max="8" width="17" customWidth="1"/>
    <col min="9" max="9" width="24" customWidth="1"/>
    <col min="10" max="10" width="9.21875" customWidth="1"/>
    <col min="11" max="11" width="10.109375" customWidth="1"/>
    <col min="12" max="12" width="21.109375" customWidth="1"/>
    <col min="13" max="13" width="11.88671875" customWidth="1"/>
    <col min="14" max="14" width="12.5546875" customWidth="1"/>
    <col min="15" max="15" width="10.109375" customWidth="1"/>
    <col min="19" max="19" width="13.109375" customWidth="1"/>
  </cols>
  <sheetData>
    <row r="1" spans="2:10" ht="21">
      <c r="C1" s="12"/>
    </row>
    <row r="2" spans="2:10" ht="18">
      <c r="B2" s="13" t="s">
        <v>0</v>
      </c>
      <c r="C2" s="13"/>
      <c r="D2" s="14"/>
    </row>
    <row r="3" spans="2:10">
      <c r="B3" s="1"/>
      <c r="C3" s="1"/>
      <c r="F3" s="1"/>
    </row>
    <row r="4" spans="2:10">
      <c r="B4" s="15" t="s">
        <v>1</v>
      </c>
      <c r="C4" s="15" t="s">
        <v>2</v>
      </c>
      <c r="D4" s="15" t="s">
        <v>3</v>
      </c>
      <c r="F4" s="15" t="s">
        <v>4</v>
      </c>
    </row>
    <row r="5" spans="2:10">
      <c r="B5" s="16">
        <v>1</v>
      </c>
      <c r="C5" s="17" t="s">
        <v>16</v>
      </c>
      <c r="D5" s="18" t="s">
        <v>6</v>
      </c>
      <c r="F5" s="19">
        <v>189000</v>
      </c>
    </row>
    <row r="6" spans="2:10">
      <c r="B6" s="16">
        <v>2</v>
      </c>
      <c r="C6" s="17" t="s">
        <v>17</v>
      </c>
      <c r="D6" s="18" t="s">
        <v>6</v>
      </c>
      <c r="F6" s="19">
        <v>219000</v>
      </c>
    </row>
    <row r="7" spans="2:10">
      <c r="B7" s="16">
        <v>3</v>
      </c>
      <c r="C7" s="17" t="s">
        <v>18</v>
      </c>
      <c r="D7" s="18" t="s">
        <v>6</v>
      </c>
      <c r="F7" s="19">
        <v>249000</v>
      </c>
    </row>
    <row r="8" spans="2:10">
      <c r="B8" s="16">
        <v>4</v>
      </c>
      <c r="C8" s="17" t="s">
        <v>19</v>
      </c>
      <c r="D8" s="18" t="s">
        <v>6</v>
      </c>
      <c r="F8" s="19">
        <v>359000</v>
      </c>
    </row>
    <row r="9" spans="2:10">
      <c r="B9" s="16">
        <v>5</v>
      </c>
      <c r="C9" s="17" t="s">
        <v>20</v>
      </c>
      <c r="D9" s="18" t="s">
        <v>6</v>
      </c>
      <c r="F9" s="19">
        <v>449000</v>
      </c>
    </row>
    <row r="10" spans="2:10">
      <c r="B10" s="16">
        <v>6</v>
      </c>
      <c r="C10" s="17" t="s">
        <v>21</v>
      </c>
      <c r="D10" s="18" t="s">
        <v>6</v>
      </c>
      <c r="F10" s="19">
        <v>799000</v>
      </c>
    </row>
    <row r="11" spans="2:10">
      <c r="B11" s="16">
        <v>7</v>
      </c>
      <c r="C11" s="17" t="s">
        <v>22</v>
      </c>
      <c r="D11" s="36">
        <v>1500000</v>
      </c>
      <c r="F11" s="19">
        <v>1399000</v>
      </c>
    </row>
    <row r="14" spans="2:10" ht="18">
      <c r="B14" s="13" t="s">
        <v>11</v>
      </c>
      <c r="C14" s="13"/>
      <c r="D14" s="14"/>
      <c r="E14" s="14"/>
      <c r="F14" s="24"/>
    </row>
    <row r="15" spans="2:10">
      <c r="D15" s="25" t="s">
        <v>12</v>
      </c>
      <c r="J15" s="26"/>
    </row>
    <row r="16" spans="2:10">
      <c r="B16" s="15" t="s">
        <v>1</v>
      </c>
      <c r="C16" s="15" t="s">
        <v>2</v>
      </c>
      <c r="D16" s="15" t="s">
        <v>13</v>
      </c>
      <c r="J16" s="26"/>
    </row>
    <row r="17" spans="2:14">
      <c r="B17" s="16">
        <v>1</v>
      </c>
      <c r="C17" s="17" t="s">
        <v>16</v>
      </c>
      <c r="D17" s="27">
        <f t="shared" ref="D17:D23" si="0">F5*5</f>
        <v>945000</v>
      </c>
    </row>
    <row r="18" spans="2:14">
      <c r="B18" s="16">
        <v>2</v>
      </c>
      <c r="C18" s="17" t="s">
        <v>17</v>
      </c>
      <c r="D18" s="27">
        <f t="shared" si="0"/>
        <v>1095000</v>
      </c>
    </row>
    <row r="19" spans="2:14">
      <c r="B19" s="16">
        <v>3</v>
      </c>
      <c r="C19" s="17" t="s">
        <v>18</v>
      </c>
      <c r="D19" s="27">
        <f t="shared" si="0"/>
        <v>1245000</v>
      </c>
    </row>
    <row r="20" spans="2:14">
      <c r="B20" s="16">
        <v>4</v>
      </c>
      <c r="C20" s="17" t="s">
        <v>19</v>
      </c>
      <c r="D20" s="27">
        <f t="shared" si="0"/>
        <v>1795000</v>
      </c>
    </row>
    <row r="21" spans="2:14">
      <c r="B21" s="16">
        <v>5</v>
      </c>
      <c r="C21" s="17" t="s">
        <v>20</v>
      </c>
      <c r="D21" s="27">
        <f t="shared" si="0"/>
        <v>2245000</v>
      </c>
    </row>
    <row r="22" spans="2:14">
      <c r="B22" s="16">
        <v>6</v>
      </c>
      <c r="C22" s="17" t="s">
        <v>21</v>
      </c>
      <c r="D22" s="27">
        <f t="shared" si="0"/>
        <v>3995000</v>
      </c>
    </row>
    <row r="23" spans="2:14">
      <c r="B23" s="16">
        <v>7</v>
      </c>
      <c r="C23" s="17" t="s">
        <v>22</v>
      </c>
      <c r="D23" s="27">
        <f t="shared" si="0"/>
        <v>6995000</v>
      </c>
    </row>
    <row r="25" spans="2:14">
      <c r="B25" s="20"/>
      <c r="D25" s="29"/>
      <c r="E25" s="30"/>
      <c r="F25" s="30"/>
      <c r="G25" s="30"/>
      <c r="H25" s="30"/>
    </row>
    <row r="26" spans="2:14" ht="18">
      <c r="B26" s="13" t="s">
        <v>14</v>
      </c>
      <c r="C26" s="24"/>
      <c r="D26" s="24"/>
      <c r="E26" s="24"/>
      <c r="F26" s="24"/>
      <c r="N26" s="26"/>
    </row>
    <row r="27" spans="2:14">
      <c r="D27" s="31" t="s">
        <v>15</v>
      </c>
      <c r="J27" s="26"/>
    </row>
    <row r="28" spans="2:14">
      <c r="B28" s="15" t="s">
        <v>1</v>
      </c>
      <c r="C28" s="15" t="s">
        <v>2</v>
      </c>
      <c r="D28" s="15" t="s">
        <v>13</v>
      </c>
    </row>
    <row r="29" spans="2:14">
      <c r="B29" s="16">
        <v>1</v>
      </c>
      <c r="C29" s="17" t="s">
        <v>16</v>
      </c>
      <c r="D29" s="27">
        <f t="shared" ref="D29:D35" si="1">F5*9</f>
        <v>1701000</v>
      </c>
      <c r="J29" s="26"/>
    </row>
    <row r="30" spans="2:14">
      <c r="B30" s="16">
        <v>2</v>
      </c>
      <c r="C30" s="17" t="s">
        <v>17</v>
      </c>
      <c r="D30" s="27">
        <f t="shared" si="1"/>
        <v>1971000</v>
      </c>
      <c r="J30" s="26"/>
    </row>
    <row r="31" spans="2:14">
      <c r="B31" s="16">
        <v>3</v>
      </c>
      <c r="C31" s="17" t="s">
        <v>18</v>
      </c>
      <c r="D31" s="27">
        <f t="shared" si="1"/>
        <v>2241000</v>
      </c>
    </row>
    <row r="32" spans="2:14">
      <c r="B32" s="16">
        <v>4</v>
      </c>
      <c r="C32" s="17" t="s">
        <v>19</v>
      </c>
      <c r="D32" s="27">
        <f t="shared" si="1"/>
        <v>3231000</v>
      </c>
    </row>
    <row r="33" spans="2:8">
      <c r="B33" s="16">
        <v>5</v>
      </c>
      <c r="C33" s="17" t="s">
        <v>20</v>
      </c>
      <c r="D33" s="27">
        <f t="shared" si="1"/>
        <v>4041000</v>
      </c>
    </row>
    <row r="34" spans="2:8">
      <c r="B34" s="16">
        <v>6</v>
      </c>
      <c r="C34" s="17" t="s">
        <v>21</v>
      </c>
      <c r="D34" s="27">
        <f t="shared" si="1"/>
        <v>7191000</v>
      </c>
    </row>
    <row r="35" spans="2:8">
      <c r="B35" s="16">
        <v>7</v>
      </c>
      <c r="C35" s="17" t="s">
        <v>22</v>
      </c>
      <c r="D35" s="27">
        <f t="shared" si="1"/>
        <v>12591000</v>
      </c>
    </row>
    <row r="36" spans="2:8">
      <c r="B36" s="20"/>
      <c r="D36" s="29"/>
    </row>
    <row r="37" spans="2:8">
      <c r="B37" s="20"/>
      <c r="D37" s="29"/>
      <c r="E37" s="30"/>
      <c r="F37" s="30"/>
      <c r="G37" s="30"/>
      <c r="H37" s="30"/>
    </row>
    <row r="39" spans="2:8">
      <c r="B39" s="20"/>
      <c r="D39" s="33"/>
      <c r="E39" s="34"/>
    </row>
    <row r="40" spans="2:8">
      <c r="C40" s="35"/>
    </row>
  </sheetData>
  <pageMargins left="0.25" right="0.25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N24"/>
  <sheetViews>
    <sheetView zoomScale="83" zoomScaleNormal="83" workbookViewId="0">
      <selection activeCell="F11" sqref="F11"/>
    </sheetView>
  </sheetViews>
  <sheetFormatPr defaultColWidth="8.88671875" defaultRowHeight="14.4"/>
  <cols>
    <col min="1" max="1" width="3" customWidth="1"/>
    <col min="2" max="2" width="5.33203125" customWidth="1"/>
    <col min="3" max="3" width="37.6640625" customWidth="1"/>
    <col min="4" max="4" width="31.5546875" customWidth="1"/>
    <col min="5" max="5" width="27.6640625" customWidth="1"/>
    <col min="6" max="6" width="32" customWidth="1"/>
    <col min="7" max="7" width="15.6640625" customWidth="1"/>
    <col min="8" max="8" width="17" customWidth="1"/>
    <col min="9" max="9" width="24" customWidth="1"/>
    <col min="10" max="10" width="9.21875" customWidth="1"/>
    <col min="11" max="11" width="10.109375" customWidth="1"/>
    <col min="12" max="12" width="21.109375" customWidth="1"/>
    <col min="13" max="13" width="11.88671875" customWidth="1"/>
    <col min="14" max="14" width="12.5546875" customWidth="1"/>
    <col min="15" max="15" width="10.109375" customWidth="1"/>
    <col min="19" max="19" width="13.109375" customWidth="1"/>
  </cols>
  <sheetData>
    <row r="1" spans="2:14" ht="21">
      <c r="C1" s="12"/>
    </row>
    <row r="2" spans="2:14" ht="18">
      <c r="B2" s="13" t="s">
        <v>23</v>
      </c>
      <c r="C2" s="13"/>
      <c r="D2" s="14"/>
    </row>
    <row r="3" spans="2:14">
      <c r="B3" s="1"/>
      <c r="C3" s="1"/>
      <c r="F3" s="1"/>
    </row>
    <row r="4" spans="2:14">
      <c r="B4" s="15" t="s">
        <v>1</v>
      </c>
      <c r="C4" s="15" t="s">
        <v>2</v>
      </c>
      <c r="D4" s="15" t="s">
        <v>3</v>
      </c>
      <c r="F4" s="15" t="s">
        <v>4</v>
      </c>
    </row>
    <row r="5" spans="2:14">
      <c r="B5" s="16">
        <v>1</v>
      </c>
      <c r="C5" s="32" t="s">
        <v>24</v>
      </c>
      <c r="D5" s="18" t="s">
        <v>6</v>
      </c>
      <c r="F5" s="19">
        <v>599000</v>
      </c>
    </row>
    <row r="6" spans="2:14">
      <c r="B6" s="16">
        <v>2</v>
      </c>
      <c r="C6" s="32" t="s">
        <v>25</v>
      </c>
      <c r="D6" s="18" t="s">
        <v>6</v>
      </c>
      <c r="F6" s="19">
        <v>999000</v>
      </c>
    </row>
    <row r="9" spans="2:14" ht="18">
      <c r="B9" s="13" t="s">
        <v>26</v>
      </c>
      <c r="C9" s="13"/>
      <c r="D9" s="14"/>
      <c r="E9" s="14"/>
      <c r="F9" s="24"/>
    </row>
    <row r="10" spans="2:14">
      <c r="D10" s="25" t="s">
        <v>27</v>
      </c>
      <c r="J10" s="26"/>
    </row>
    <row r="11" spans="2:14">
      <c r="B11" s="15" t="s">
        <v>1</v>
      </c>
      <c r="C11" s="15" t="s">
        <v>2</v>
      </c>
      <c r="D11" s="15" t="s">
        <v>13</v>
      </c>
      <c r="J11" s="26"/>
    </row>
    <row r="12" spans="2:14">
      <c r="B12" s="16">
        <v>1</v>
      </c>
      <c r="C12" s="32" t="s">
        <v>24</v>
      </c>
      <c r="D12" s="27">
        <f>F5*6</f>
        <v>3594000</v>
      </c>
    </row>
    <row r="13" spans="2:14">
      <c r="B13" s="16">
        <v>2</v>
      </c>
      <c r="C13" s="32" t="s">
        <v>25</v>
      </c>
      <c r="D13" s="27">
        <f>F6*6</f>
        <v>5994000</v>
      </c>
    </row>
    <row r="15" spans="2:14">
      <c r="B15" s="20"/>
      <c r="D15" s="29"/>
      <c r="E15" s="30"/>
      <c r="F15" s="30"/>
      <c r="G15" s="30"/>
      <c r="H15" s="30"/>
    </row>
    <row r="16" spans="2:14" ht="18">
      <c r="B16" s="13" t="s">
        <v>28</v>
      </c>
      <c r="C16" s="24"/>
      <c r="D16" s="24"/>
      <c r="E16" s="24"/>
      <c r="F16" s="24"/>
      <c r="N16" s="26"/>
    </row>
    <row r="17" spans="2:10">
      <c r="D17" s="31" t="s">
        <v>29</v>
      </c>
      <c r="J17" s="26"/>
    </row>
    <row r="18" spans="2:10">
      <c r="B18" s="15" t="s">
        <v>1</v>
      </c>
      <c r="C18" s="15" t="s">
        <v>2</v>
      </c>
      <c r="D18" s="15" t="s">
        <v>13</v>
      </c>
    </row>
    <row r="19" spans="2:10">
      <c r="B19" s="16">
        <v>1</v>
      </c>
      <c r="C19" s="32" t="s">
        <v>24</v>
      </c>
      <c r="D19" s="27">
        <f>F5*12</f>
        <v>7188000</v>
      </c>
      <c r="J19" s="26"/>
    </row>
    <row r="20" spans="2:10">
      <c r="B20" s="16">
        <v>2</v>
      </c>
      <c r="C20" s="32" t="s">
        <v>25</v>
      </c>
      <c r="D20" s="27">
        <f>F6*12</f>
        <v>11988000</v>
      </c>
      <c r="J20" s="26"/>
    </row>
    <row r="21" spans="2:10">
      <c r="B21" s="20"/>
      <c r="D21" s="29"/>
      <c r="E21" s="30"/>
      <c r="F21" s="30"/>
      <c r="G21" s="30"/>
      <c r="H21" s="30"/>
    </row>
    <row r="23" spans="2:10">
      <c r="B23" s="20"/>
      <c r="D23" s="33"/>
      <c r="E23" s="34"/>
    </row>
    <row r="24" spans="2:10">
      <c r="C24" s="35"/>
    </row>
  </sheetData>
  <pageMargins left="0.25" right="0.25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51"/>
  <sheetViews>
    <sheetView zoomScale="83" zoomScaleNormal="83" workbookViewId="0">
      <selection activeCell="E25" sqref="E25"/>
    </sheetView>
  </sheetViews>
  <sheetFormatPr defaultColWidth="8.88671875" defaultRowHeight="14.4"/>
  <cols>
    <col min="1" max="1" width="3" customWidth="1"/>
    <col min="2" max="2" width="5.33203125" customWidth="1"/>
    <col min="3" max="3" width="37.6640625" customWidth="1"/>
    <col min="4" max="4" width="31.5546875" customWidth="1"/>
    <col min="5" max="5" width="27.6640625" customWidth="1"/>
    <col min="6" max="6" width="32" customWidth="1"/>
    <col min="7" max="7" width="15.6640625" customWidth="1"/>
    <col min="8" max="8" width="17" customWidth="1"/>
    <col min="9" max="9" width="24" customWidth="1"/>
    <col min="10" max="10" width="9.21875" customWidth="1"/>
    <col min="11" max="11" width="10.109375" customWidth="1"/>
    <col min="12" max="12" width="21.109375" customWidth="1"/>
    <col min="13" max="13" width="11.88671875" customWidth="1"/>
    <col min="14" max="14" width="12.5546875" customWidth="1"/>
    <col min="15" max="15" width="10.109375" customWidth="1"/>
    <col min="19" max="19" width="13.109375" customWidth="1"/>
  </cols>
  <sheetData>
    <row r="1" spans="2:10" ht="21">
      <c r="C1" s="12"/>
    </row>
    <row r="2" spans="2:10" ht="18">
      <c r="B2" s="13" t="s">
        <v>30</v>
      </c>
      <c r="C2" s="13"/>
      <c r="D2" s="14"/>
    </row>
    <row r="3" spans="2:10">
      <c r="B3" s="1"/>
      <c r="C3" s="1"/>
      <c r="F3" s="1"/>
    </row>
    <row r="4" spans="2:10">
      <c r="B4" s="15" t="s">
        <v>1</v>
      </c>
      <c r="C4" s="15" t="s">
        <v>2</v>
      </c>
      <c r="D4" s="15" t="s">
        <v>3</v>
      </c>
      <c r="F4" s="15" t="s">
        <v>4</v>
      </c>
    </row>
    <row r="5" spans="2:10">
      <c r="B5" s="16">
        <v>1</v>
      </c>
      <c r="C5" s="17" t="s">
        <v>31</v>
      </c>
      <c r="D5" s="18">
        <v>250000</v>
      </c>
      <c r="F5" s="19">
        <v>299000</v>
      </c>
    </row>
    <row r="6" spans="2:10">
      <c r="B6" s="16">
        <v>2</v>
      </c>
      <c r="C6" s="17" t="s">
        <v>32</v>
      </c>
      <c r="D6" s="18">
        <v>250000</v>
      </c>
      <c r="F6" s="19">
        <v>399000</v>
      </c>
    </row>
    <row r="7" spans="2:10">
      <c r="B7" s="16">
        <v>3</v>
      </c>
      <c r="C7" s="17" t="s">
        <v>33</v>
      </c>
      <c r="D7" s="18">
        <v>250000</v>
      </c>
      <c r="F7" s="19">
        <v>699000</v>
      </c>
    </row>
    <row r="8" spans="2:10">
      <c r="B8" s="16">
        <v>4</v>
      </c>
      <c r="C8" s="17" t="s">
        <v>34</v>
      </c>
      <c r="D8" s="18">
        <v>250000</v>
      </c>
      <c r="F8" s="19">
        <v>999000</v>
      </c>
    </row>
    <row r="9" spans="2:10">
      <c r="B9" s="16">
        <v>5</v>
      </c>
      <c r="C9" s="17" t="s">
        <v>35</v>
      </c>
      <c r="D9" s="18" t="s">
        <v>6</v>
      </c>
      <c r="F9" s="19">
        <v>3999000</v>
      </c>
    </row>
    <row r="11" spans="2:10" ht="18">
      <c r="B11" s="13" t="s">
        <v>36</v>
      </c>
      <c r="C11" s="13"/>
      <c r="D11" s="14"/>
      <c r="E11" s="14"/>
      <c r="F11" s="24"/>
    </row>
    <row r="12" spans="2:10">
      <c r="D12" s="25" t="s">
        <v>27</v>
      </c>
      <c r="J12" s="26"/>
    </row>
    <row r="13" spans="2:10">
      <c r="B13" s="15" t="s">
        <v>1</v>
      </c>
      <c r="C13" s="15" t="s">
        <v>2</v>
      </c>
      <c r="D13" s="15" t="s">
        <v>13</v>
      </c>
      <c r="J13" s="26"/>
    </row>
    <row r="14" spans="2:10">
      <c r="B14" s="16">
        <v>1</v>
      </c>
      <c r="C14" s="17" t="s">
        <v>31</v>
      </c>
      <c r="D14" s="27">
        <f t="shared" ref="D14:D18" si="0">F5*6</f>
        <v>1794000</v>
      </c>
    </row>
    <row r="15" spans="2:10">
      <c r="B15" s="16">
        <v>2</v>
      </c>
      <c r="C15" s="17" t="s">
        <v>32</v>
      </c>
      <c r="D15" s="27">
        <f t="shared" si="0"/>
        <v>2394000</v>
      </c>
    </row>
    <row r="16" spans="2:10">
      <c r="B16" s="16">
        <v>3</v>
      </c>
      <c r="C16" s="17" t="s">
        <v>33</v>
      </c>
      <c r="D16" s="27">
        <f t="shared" si="0"/>
        <v>4194000</v>
      </c>
    </row>
    <row r="17" spans="2:10">
      <c r="B17" s="16">
        <v>4</v>
      </c>
      <c r="C17" s="17" t="s">
        <v>34</v>
      </c>
      <c r="D17" s="27">
        <f t="shared" si="0"/>
        <v>5994000</v>
      </c>
    </row>
    <row r="18" spans="2:10">
      <c r="B18" s="16">
        <v>5</v>
      </c>
      <c r="C18" s="17" t="s">
        <v>37</v>
      </c>
      <c r="D18" s="27">
        <f t="shared" si="0"/>
        <v>23994000</v>
      </c>
    </row>
    <row r="20" spans="2:10">
      <c r="B20" s="20"/>
      <c r="D20" s="29"/>
      <c r="E20" s="30"/>
      <c r="F20" s="30"/>
      <c r="G20" s="30"/>
      <c r="H20" s="30"/>
    </row>
    <row r="21" spans="2:10" ht="18">
      <c r="B21" s="13" t="s">
        <v>38</v>
      </c>
      <c r="C21" s="13"/>
      <c r="D21" s="14"/>
      <c r="E21" s="14"/>
      <c r="F21" s="24"/>
    </row>
    <row r="22" spans="2:10">
      <c r="D22" s="31" t="s">
        <v>39</v>
      </c>
      <c r="J22" s="26"/>
    </row>
    <row r="23" spans="2:10">
      <c r="B23" s="15" t="s">
        <v>1</v>
      </c>
      <c r="C23" s="15" t="s">
        <v>2</v>
      </c>
      <c r="D23" s="15" t="s">
        <v>13</v>
      </c>
    </row>
    <row r="24" spans="2:10">
      <c r="B24" s="16">
        <v>1</v>
      </c>
      <c r="C24" s="17" t="s">
        <v>31</v>
      </c>
      <c r="D24" s="27">
        <f t="shared" ref="D24:D28" si="1">F5*12</f>
        <v>3588000</v>
      </c>
      <c r="J24" s="26"/>
    </row>
    <row r="25" spans="2:10">
      <c r="B25" s="16">
        <v>2</v>
      </c>
      <c r="C25" s="17" t="s">
        <v>32</v>
      </c>
      <c r="D25" s="27">
        <f t="shared" si="1"/>
        <v>4788000</v>
      </c>
      <c r="J25" s="26"/>
    </row>
    <row r="26" spans="2:10">
      <c r="B26" s="16">
        <v>3</v>
      </c>
      <c r="C26" s="17" t="s">
        <v>33</v>
      </c>
      <c r="D26" s="27">
        <f t="shared" si="1"/>
        <v>8388000</v>
      </c>
    </row>
    <row r="27" spans="2:10">
      <c r="B27" s="16">
        <v>4</v>
      </c>
      <c r="C27" s="17" t="s">
        <v>34</v>
      </c>
      <c r="D27" s="27">
        <f t="shared" si="1"/>
        <v>11988000</v>
      </c>
    </row>
    <row r="28" spans="2:10">
      <c r="B28" s="16">
        <v>5</v>
      </c>
      <c r="C28" s="17" t="s">
        <v>37</v>
      </c>
      <c r="D28" s="27">
        <f t="shared" si="1"/>
        <v>47988000</v>
      </c>
    </row>
    <row r="29" spans="2:10">
      <c r="B29" s="20"/>
      <c r="D29" s="29"/>
    </row>
    <row r="30" spans="2:10">
      <c r="B30" s="20"/>
      <c r="D30" s="29"/>
      <c r="E30" s="30"/>
      <c r="F30" s="30"/>
      <c r="G30" s="30"/>
      <c r="H30" s="30"/>
    </row>
    <row r="31" spans="2:10" ht="18">
      <c r="B31" s="13" t="s">
        <v>40</v>
      </c>
      <c r="C31" s="13"/>
      <c r="D31" s="14"/>
    </row>
    <row r="32" spans="2:10">
      <c r="B32" s="1"/>
      <c r="C32" s="1"/>
      <c r="F32" s="1"/>
    </row>
    <row r="33" spans="2:10">
      <c r="B33" s="15" t="s">
        <v>1</v>
      </c>
      <c r="C33" s="15" t="s">
        <v>2</v>
      </c>
      <c r="D33" s="15" t="s">
        <v>3</v>
      </c>
      <c r="F33" s="15" t="s">
        <v>4</v>
      </c>
    </row>
    <row r="34" spans="2:10">
      <c r="B34" s="16">
        <v>1</v>
      </c>
      <c r="C34" s="17" t="s">
        <v>41</v>
      </c>
      <c r="D34" s="27">
        <f>F34*12</f>
        <v>6000000</v>
      </c>
      <c r="F34" s="19">
        <v>500000</v>
      </c>
    </row>
    <row r="35" spans="2:10">
      <c r="B35" s="16">
        <v>2</v>
      </c>
      <c r="C35" s="17" t="s">
        <v>42</v>
      </c>
      <c r="D35" s="27">
        <f t="shared" ref="D35:D36" si="2">F35*12</f>
        <v>9600000</v>
      </c>
      <c r="F35" s="19">
        <v>800000</v>
      </c>
    </row>
    <row r="36" spans="2:10">
      <c r="B36" s="16">
        <v>3</v>
      </c>
      <c r="C36" s="17" t="s">
        <v>43</v>
      </c>
      <c r="D36" s="27">
        <f t="shared" si="2"/>
        <v>14400000</v>
      </c>
      <c r="F36" s="19">
        <v>1200000</v>
      </c>
    </row>
    <row r="37" spans="2:10">
      <c r="B37" s="20"/>
      <c r="C37" s="21"/>
      <c r="D37" s="22"/>
      <c r="F37" s="23"/>
    </row>
    <row r="39" spans="2:10" ht="18">
      <c r="B39" s="13" t="s">
        <v>44</v>
      </c>
      <c r="C39" s="13"/>
      <c r="D39" s="14"/>
      <c r="E39" s="14"/>
      <c r="F39" s="24"/>
    </row>
    <row r="40" spans="2:10">
      <c r="D40" s="25" t="s">
        <v>27</v>
      </c>
      <c r="J40" s="26"/>
    </row>
    <row r="41" spans="2:10">
      <c r="B41" s="15" t="s">
        <v>1</v>
      </c>
      <c r="C41" s="15" t="s">
        <v>2</v>
      </c>
      <c r="D41" s="15" t="s">
        <v>13</v>
      </c>
      <c r="J41" s="26"/>
    </row>
    <row r="42" spans="2:10">
      <c r="B42" s="16">
        <v>1</v>
      </c>
      <c r="C42" s="17" t="s">
        <v>41</v>
      </c>
      <c r="D42" s="27">
        <f t="shared" ref="D42:D44" si="3">F34*6</f>
        <v>3000000</v>
      </c>
    </row>
    <row r="43" spans="2:10">
      <c r="B43" s="16">
        <v>2</v>
      </c>
      <c r="C43" s="17" t="s">
        <v>42</v>
      </c>
      <c r="D43" s="27">
        <f t="shared" si="3"/>
        <v>4800000</v>
      </c>
    </row>
    <row r="44" spans="2:10">
      <c r="B44" s="16">
        <v>3</v>
      </c>
      <c r="C44" s="17" t="s">
        <v>43</v>
      </c>
      <c r="D44" s="27">
        <f t="shared" si="3"/>
        <v>7200000</v>
      </c>
    </row>
    <row r="45" spans="2:10">
      <c r="B45" s="20"/>
      <c r="D45" s="29"/>
      <c r="E45" s="30"/>
      <c r="F45" s="30"/>
      <c r="G45" s="30"/>
      <c r="H45" s="30"/>
    </row>
    <row r="46" spans="2:10" ht="18">
      <c r="B46" s="13" t="s">
        <v>45</v>
      </c>
      <c r="C46" s="13"/>
      <c r="D46" s="14"/>
      <c r="E46" s="14"/>
      <c r="F46" s="24"/>
    </row>
    <row r="47" spans="2:10">
      <c r="D47" s="31" t="s">
        <v>39</v>
      </c>
      <c r="J47" s="26"/>
    </row>
    <row r="48" spans="2:10">
      <c r="B48" s="15" t="s">
        <v>1</v>
      </c>
      <c r="C48" s="15" t="s">
        <v>2</v>
      </c>
      <c r="D48" s="15" t="s">
        <v>13</v>
      </c>
    </row>
    <row r="49" spans="2:10">
      <c r="B49" s="16">
        <v>1</v>
      </c>
      <c r="C49" s="17" t="s">
        <v>41</v>
      </c>
      <c r="D49" s="27">
        <f t="shared" ref="D49:D51" si="4">F34*12</f>
        <v>6000000</v>
      </c>
      <c r="J49" s="26"/>
    </row>
    <row r="50" spans="2:10">
      <c r="B50" s="16">
        <v>2</v>
      </c>
      <c r="C50" s="17" t="s">
        <v>42</v>
      </c>
      <c r="D50" s="27">
        <f t="shared" si="4"/>
        <v>9600000</v>
      </c>
      <c r="J50" s="26"/>
    </row>
    <row r="51" spans="2:10">
      <c r="B51" s="16">
        <v>3</v>
      </c>
      <c r="C51" s="17" t="s">
        <v>43</v>
      </c>
      <c r="D51" s="27">
        <f t="shared" si="4"/>
        <v>14400000</v>
      </c>
    </row>
  </sheetData>
  <pageMargins left="0.25" right="0.25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J50"/>
  <sheetViews>
    <sheetView topLeftCell="A24" zoomScale="83" zoomScaleNormal="83" workbookViewId="0">
      <selection activeCell="D33" sqref="D33:D35"/>
    </sheetView>
  </sheetViews>
  <sheetFormatPr defaultColWidth="8.88671875" defaultRowHeight="14.4"/>
  <cols>
    <col min="1" max="1" width="3" customWidth="1"/>
    <col min="2" max="2" width="5.33203125" customWidth="1"/>
    <col min="3" max="3" width="37.6640625" customWidth="1"/>
    <col min="4" max="4" width="31.5546875" customWidth="1"/>
    <col min="5" max="5" width="27.6640625" customWidth="1"/>
    <col min="6" max="6" width="32" customWidth="1"/>
    <col min="7" max="7" width="15.6640625" customWidth="1"/>
    <col min="8" max="8" width="17" customWidth="1"/>
    <col min="9" max="9" width="24" customWidth="1"/>
    <col min="10" max="10" width="9.21875" customWidth="1"/>
    <col min="11" max="11" width="10.109375" customWidth="1"/>
    <col min="12" max="12" width="21.109375" customWidth="1"/>
    <col min="13" max="13" width="11.88671875" customWidth="1"/>
    <col min="14" max="14" width="12.5546875" customWidth="1"/>
    <col min="15" max="15" width="10.109375" customWidth="1"/>
    <col min="19" max="19" width="13.109375" customWidth="1"/>
  </cols>
  <sheetData>
    <row r="1" spans="2:10" ht="21">
      <c r="C1" s="12"/>
    </row>
    <row r="2" spans="2:10" ht="18">
      <c r="B2" s="13" t="s">
        <v>46</v>
      </c>
      <c r="C2" s="13"/>
      <c r="D2" s="14"/>
    </row>
    <row r="3" spans="2:10">
      <c r="B3" s="1"/>
      <c r="C3" s="1"/>
      <c r="F3" s="1"/>
    </row>
    <row r="4" spans="2:10">
      <c r="B4" s="15" t="s">
        <v>1</v>
      </c>
      <c r="C4" s="15" t="s">
        <v>2</v>
      </c>
      <c r="D4" s="15" t="s">
        <v>3</v>
      </c>
      <c r="F4" s="15" t="s">
        <v>4</v>
      </c>
    </row>
    <row r="5" spans="2:10">
      <c r="B5" s="16">
        <v>1</v>
      </c>
      <c r="C5" s="17" t="s">
        <v>31</v>
      </c>
      <c r="D5" s="18">
        <v>200000</v>
      </c>
      <c r="F5" s="19">
        <v>299000</v>
      </c>
    </row>
    <row r="6" spans="2:10">
      <c r="B6" s="16">
        <v>2</v>
      </c>
      <c r="C6" s="17" t="s">
        <v>32</v>
      </c>
      <c r="D6" s="18">
        <v>200000</v>
      </c>
      <c r="F6" s="19">
        <v>399000</v>
      </c>
    </row>
    <row r="7" spans="2:10">
      <c r="B7" s="16">
        <v>3</v>
      </c>
      <c r="C7" s="17" t="s">
        <v>33</v>
      </c>
      <c r="D7" s="18">
        <v>200000</v>
      </c>
      <c r="F7" s="19">
        <v>699000</v>
      </c>
    </row>
    <row r="8" spans="2:10">
      <c r="B8" s="16">
        <v>4</v>
      </c>
      <c r="C8" s="17" t="s">
        <v>34</v>
      </c>
      <c r="D8" s="18">
        <v>200000</v>
      </c>
      <c r="F8" s="19">
        <v>999000</v>
      </c>
    </row>
    <row r="9" spans="2:10">
      <c r="B9" s="16">
        <v>5</v>
      </c>
      <c r="C9" s="17" t="s">
        <v>35</v>
      </c>
      <c r="D9" s="18" t="s">
        <v>6</v>
      </c>
      <c r="F9" s="19">
        <v>3999000</v>
      </c>
    </row>
    <row r="11" spans="2:10" ht="18">
      <c r="B11" s="13" t="s">
        <v>47</v>
      </c>
      <c r="C11" s="13"/>
      <c r="D11" s="14"/>
      <c r="E11" s="14"/>
      <c r="F11" s="24"/>
    </row>
    <row r="12" spans="2:10">
      <c r="D12" s="25" t="s">
        <v>27</v>
      </c>
      <c r="J12" s="26"/>
    </row>
    <row r="13" spans="2:10">
      <c r="B13" s="15" t="s">
        <v>1</v>
      </c>
      <c r="C13" s="15" t="s">
        <v>2</v>
      </c>
      <c r="D13" s="15" t="s">
        <v>13</v>
      </c>
      <c r="J13" s="26"/>
    </row>
    <row r="14" spans="2:10">
      <c r="B14" s="16">
        <v>1</v>
      </c>
      <c r="C14" s="17" t="s">
        <v>31</v>
      </c>
      <c r="D14" s="27">
        <f t="shared" ref="D14:D18" si="0">F5*6</f>
        <v>1794000</v>
      </c>
    </row>
    <row r="15" spans="2:10">
      <c r="B15" s="16">
        <v>2</v>
      </c>
      <c r="C15" s="17" t="s">
        <v>32</v>
      </c>
      <c r="D15" s="27">
        <f t="shared" si="0"/>
        <v>2394000</v>
      </c>
    </row>
    <row r="16" spans="2:10">
      <c r="B16" s="16">
        <v>3</v>
      </c>
      <c r="C16" s="17" t="s">
        <v>33</v>
      </c>
      <c r="D16" s="27">
        <f t="shared" si="0"/>
        <v>4194000</v>
      </c>
    </row>
    <row r="17" spans="2:10">
      <c r="B17" s="16">
        <v>4</v>
      </c>
      <c r="C17" s="17" t="s">
        <v>34</v>
      </c>
      <c r="D17" s="27">
        <f t="shared" si="0"/>
        <v>5994000</v>
      </c>
    </row>
    <row r="18" spans="2:10">
      <c r="B18" s="16">
        <v>5</v>
      </c>
      <c r="C18" s="17" t="s">
        <v>37</v>
      </c>
      <c r="D18" s="27">
        <f t="shared" si="0"/>
        <v>23994000</v>
      </c>
    </row>
    <row r="20" spans="2:10">
      <c r="B20" s="20"/>
      <c r="D20" s="29"/>
      <c r="E20" s="30"/>
      <c r="F20" s="30"/>
      <c r="G20" s="30"/>
      <c r="H20" s="30"/>
    </row>
    <row r="21" spans="2:10" ht="18">
      <c r="B21" s="13" t="s">
        <v>48</v>
      </c>
      <c r="C21" s="13"/>
      <c r="D21" s="14"/>
      <c r="E21" s="14"/>
      <c r="F21" s="24"/>
    </row>
    <row r="22" spans="2:10">
      <c r="D22" s="31" t="s">
        <v>29</v>
      </c>
      <c r="J22" s="26"/>
    </row>
    <row r="23" spans="2:10">
      <c r="B23" s="15" t="s">
        <v>1</v>
      </c>
      <c r="C23" s="15" t="s">
        <v>2</v>
      </c>
      <c r="D23" s="15" t="s">
        <v>13</v>
      </c>
    </row>
    <row r="24" spans="2:10">
      <c r="B24" s="16">
        <v>1</v>
      </c>
      <c r="C24" s="17" t="s">
        <v>31</v>
      </c>
      <c r="D24" s="27">
        <f t="shared" ref="D24:D28" si="1">F5*12</f>
        <v>3588000</v>
      </c>
      <c r="J24" s="26"/>
    </row>
    <row r="25" spans="2:10">
      <c r="B25" s="16">
        <v>2</v>
      </c>
      <c r="C25" s="17" t="s">
        <v>32</v>
      </c>
      <c r="D25" s="27">
        <f t="shared" si="1"/>
        <v>4788000</v>
      </c>
      <c r="J25" s="26"/>
    </row>
    <row r="26" spans="2:10">
      <c r="B26" s="16">
        <v>3</v>
      </c>
      <c r="C26" s="17" t="s">
        <v>33</v>
      </c>
      <c r="D26" s="27">
        <f t="shared" si="1"/>
        <v>8388000</v>
      </c>
    </row>
    <row r="27" spans="2:10">
      <c r="B27" s="16">
        <v>4</v>
      </c>
      <c r="C27" s="17" t="s">
        <v>34</v>
      </c>
      <c r="D27" s="27">
        <f t="shared" si="1"/>
        <v>11988000</v>
      </c>
    </row>
    <row r="28" spans="2:10">
      <c r="B28" s="16">
        <v>5</v>
      </c>
      <c r="C28" s="17" t="s">
        <v>37</v>
      </c>
      <c r="D28" s="27">
        <f t="shared" si="1"/>
        <v>47988000</v>
      </c>
    </row>
    <row r="29" spans="2:10">
      <c r="B29" s="20"/>
      <c r="D29" s="29"/>
    </row>
    <row r="30" spans="2:10" ht="18">
      <c r="B30" s="13" t="s">
        <v>49</v>
      </c>
      <c r="C30" s="13"/>
      <c r="D30" s="14"/>
    </row>
    <row r="31" spans="2:10">
      <c r="B31" s="1"/>
      <c r="C31" s="1"/>
      <c r="F31" s="1"/>
    </row>
    <row r="32" spans="2:10">
      <c r="B32" s="15" t="s">
        <v>1</v>
      </c>
      <c r="C32" s="15" t="s">
        <v>2</v>
      </c>
      <c r="D32" s="15" t="s">
        <v>3</v>
      </c>
      <c r="F32" s="15" t="s">
        <v>4</v>
      </c>
    </row>
    <row r="33" spans="2:10">
      <c r="B33" s="16">
        <v>1</v>
      </c>
      <c r="C33" s="17" t="s">
        <v>41</v>
      </c>
      <c r="D33" s="27">
        <f>F33*12</f>
        <v>6000000</v>
      </c>
      <c r="F33" s="19">
        <v>500000</v>
      </c>
    </row>
    <row r="34" spans="2:10">
      <c r="B34" s="16">
        <v>2</v>
      </c>
      <c r="C34" s="17" t="s">
        <v>42</v>
      </c>
      <c r="D34" s="27">
        <f t="shared" ref="D34:D35" si="2">F34*12</f>
        <v>9600000</v>
      </c>
      <c r="F34" s="19">
        <v>800000</v>
      </c>
    </row>
    <row r="35" spans="2:10">
      <c r="B35" s="16">
        <v>3</v>
      </c>
      <c r="C35" s="17" t="s">
        <v>43</v>
      </c>
      <c r="D35" s="27">
        <f t="shared" si="2"/>
        <v>14400000</v>
      </c>
      <c r="F35" s="19">
        <v>1200000</v>
      </c>
    </row>
    <row r="36" spans="2:10">
      <c r="B36" s="20"/>
      <c r="C36" s="21"/>
      <c r="D36" s="22"/>
      <c r="F36" s="23"/>
    </row>
    <row r="38" spans="2:10" ht="18">
      <c r="B38" s="13" t="s">
        <v>50</v>
      </c>
      <c r="C38" s="13"/>
      <c r="D38" s="14"/>
      <c r="E38" s="14"/>
      <c r="F38" s="24"/>
    </row>
    <row r="39" spans="2:10">
      <c r="D39" s="25" t="s">
        <v>27</v>
      </c>
      <c r="J39" s="26"/>
    </row>
    <row r="40" spans="2:10">
      <c r="B40" s="15" t="s">
        <v>1</v>
      </c>
      <c r="C40" s="15" t="s">
        <v>2</v>
      </c>
      <c r="D40" s="15" t="s">
        <v>13</v>
      </c>
      <c r="J40" s="26"/>
    </row>
    <row r="41" spans="2:10">
      <c r="B41" s="16">
        <v>1</v>
      </c>
      <c r="C41" s="17" t="s">
        <v>41</v>
      </c>
      <c r="D41" s="27">
        <f t="shared" ref="D41:D43" si="3">F33*6</f>
        <v>3000000</v>
      </c>
    </row>
    <row r="42" spans="2:10">
      <c r="B42" s="16">
        <v>2</v>
      </c>
      <c r="C42" s="17" t="s">
        <v>42</v>
      </c>
      <c r="D42" s="27">
        <f t="shared" si="3"/>
        <v>4800000</v>
      </c>
    </row>
    <row r="43" spans="2:10">
      <c r="B43" s="16">
        <v>3</v>
      </c>
      <c r="C43" s="17" t="s">
        <v>43</v>
      </c>
      <c r="D43" s="27">
        <f t="shared" si="3"/>
        <v>7200000</v>
      </c>
    </row>
    <row r="44" spans="2:10">
      <c r="B44" s="20"/>
      <c r="D44" s="29"/>
      <c r="E44" s="30"/>
      <c r="F44" s="30"/>
      <c r="G44" s="30"/>
      <c r="H44" s="30"/>
    </row>
    <row r="45" spans="2:10" ht="18">
      <c r="B45" s="13" t="s">
        <v>51</v>
      </c>
      <c r="C45" s="13"/>
      <c r="D45" s="14"/>
      <c r="E45" s="14"/>
      <c r="F45" s="24"/>
    </row>
    <row r="46" spans="2:10">
      <c r="D46" s="31" t="s">
        <v>39</v>
      </c>
      <c r="J46" s="26"/>
    </row>
    <row r="47" spans="2:10">
      <c r="B47" s="15" t="s">
        <v>1</v>
      </c>
      <c r="C47" s="15" t="s">
        <v>2</v>
      </c>
      <c r="D47" s="15" t="s">
        <v>13</v>
      </c>
    </row>
    <row r="48" spans="2:10">
      <c r="B48" s="16">
        <v>1</v>
      </c>
      <c r="C48" s="17" t="s">
        <v>41</v>
      </c>
      <c r="D48" s="27">
        <f t="shared" ref="D48:D50" si="4">F33*12</f>
        <v>6000000</v>
      </c>
      <c r="J48" s="26"/>
    </row>
    <row r="49" spans="2:10">
      <c r="B49" s="16">
        <v>2</v>
      </c>
      <c r="C49" s="17" t="s">
        <v>42</v>
      </c>
      <c r="D49" s="27">
        <f t="shared" si="4"/>
        <v>9600000</v>
      </c>
      <c r="J49" s="26"/>
    </row>
    <row r="50" spans="2:10">
      <c r="B50" s="16">
        <v>3</v>
      </c>
      <c r="C50" s="17" t="s">
        <v>43</v>
      </c>
      <c r="D50" s="27">
        <f t="shared" si="4"/>
        <v>14400000</v>
      </c>
    </row>
  </sheetData>
  <pageMargins left="0.25" right="0.25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J57"/>
  <sheetViews>
    <sheetView topLeftCell="B1" zoomScale="83" zoomScaleNormal="83" workbookViewId="0">
      <selection activeCell="D70" sqref="D70"/>
    </sheetView>
  </sheetViews>
  <sheetFormatPr defaultColWidth="8.88671875" defaultRowHeight="14.4"/>
  <cols>
    <col min="1" max="1" width="3" customWidth="1"/>
    <col min="2" max="2" width="5.33203125" customWidth="1"/>
    <col min="3" max="3" width="37.6640625" customWidth="1"/>
    <col min="4" max="4" width="31.5546875" customWidth="1"/>
    <col min="5" max="5" width="27.6640625" customWidth="1"/>
    <col min="6" max="6" width="32" customWidth="1"/>
    <col min="7" max="7" width="15.6640625" customWidth="1"/>
    <col min="8" max="8" width="17" customWidth="1"/>
    <col min="9" max="9" width="24" customWidth="1"/>
    <col min="10" max="10" width="9.21875" customWidth="1"/>
    <col min="11" max="11" width="10.109375" customWidth="1"/>
    <col min="12" max="12" width="21.109375" customWidth="1"/>
    <col min="13" max="13" width="11.88671875" customWidth="1"/>
    <col min="14" max="14" width="12.5546875" customWidth="1"/>
    <col min="15" max="15" width="10.109375" customWidth="1"/>
    <col min="19" max="19" width="13.109375" customWidth="1"/>
  </cols>
  <sheetData>
    <row r="1" spans="2:10" ht="21">
      <c r="C1" s="12"/>
    </row>
    <row r="2" spans="2:10" ht="18">
      <c r="B2" s="13" t="s">
        <v>52</v>
      </c>
      <c r="C2" s="13"/>
      <c r="D2" s="14"/>
    </row>
    <row r="3" spans="2:10">
      <c r="B3" s="1"/>
      <c r="C3" s="1"/>
      <c r="F3" s="1"/>
    </row>
    <row r="4" spans="2:10">
      <c r="B4" s="15" t="s">
        <v>1</v>
      </c>
      <c r="C4" s="15" t="s">
        <v>2</v>
      </c>
      <c r="D4" s="15" t="s">
        <v>3</v>
      </c>
      <c r="F4" s="15" t="s">
        <v>4</v>
      </c>
    </row>
    <row r="5" spans="2:10">
      <c r="B5" s="16">
        <v>1</v>
      </c>
      <c r="C5" s="17" t="s">
        <v>31</v>
      </c>
      <c r="D5" s="18">
        <v>200000</v>
      </c>
      <c r="F5" s="19">
        <v>350000</v>
      </c>
    </row>
    <row r="6" spans="2:10">
      <c r="B6" s="16">
        <v>2</v>
      </c>
      <c r="C6" s="17" t="s">
        <v>53</v>
      </c>
      <c r="D6" s="18">
        <v>200000</v>
      </c>
      <c r="F6" s="19">
        <v>500000</v>
      </c>
    </row>
    <row r="7" spans="2:10">
      <c r="B7" s="16">
        <v>3</v>
      </c>
      <c r="C7" s="17" t="s">
        <v>32</v>
      </c>
      <c r="D7" s="18">
        <v>200000</v>
      </c>
      <c r="F7" s="19">
        <v>700000</v>
      </c>
    </row>
    <row r="8" spans="2:10">
      <c r="B8" s="16">
        <v>4</v>
      </c>
      <c r="C8" s="17" t="s">
        <v>9</v>
      </c>
      <c r="D8" s="18">
        <v>200000</v>
      </c>
      <c r="F8" s="19">
        <v>1300000</v>
      </c>
    </row>
    <row r="9" spans="2:10">
      <c r="B9" s="16">
        <v>5</v>
      </c>
      <c r="C9" s="17" t="s">
        <v>10</v>
      </c>
      <c r="D9" s="18" t="s">
        <v>6</v>
      </c>
      <c r="F9" s="19">
        <v>1900000</v>
      </c>
    </row>
    <row r="10" spans="2:10">
      <c r="B10" s="16">
        <v>6</v>
      </c>
      <c r="C10" s="17" t="s">
        <v>54</v>
      </c>
      <c r="D10" s="18" t="s">
        <v>6</v>
      </c>
      <c r="F10" s="19">
        <v>3999000</v>
      </c>
    </row>
    <row r="11" spans="2:10">
      <c r="B11" s="20"/>
      <c r="C11" s="21"/>
      <c r="D11" s="22"/>
      <c r="F11" s="23"/>
    </row>
    <row r="12" spans="2:10">
      <c r="B12" s="20"/>
      <c r="C12" s="21"/>
      <c r="D12" s="22"/>
      <c r="F12" s="23"/>
    </row>
    <row r="14" spans="2:10" ht="18">
      <c r="B14" s="13" t="s">
        <v>55</v>
      </c>
      <c r="C14" s="13"/>
      <c r="D14" s="14"/>
      <c r="E14" s="14"/>
      <c r="F14" s="24"/>
    </row>
    <row r="15" spans="2:10">
      <c r="D15" s="25" t="s">
        <v>27</v>
      </c>
      <c r="J15" s="26"/>
    </row>
    <row r="16" spans="2:10">
      <c r="B16" s="15" t="s">
        <v>1</v>
      </c>
      <c r="C16" s="15" t="s">
        <v>2</v>
      </c>
      <c r="D16" s="15" t="s">
        <v>13</v>
      </c>
      <c r="J16" s="26"/>
    </row>
    <row r="17" spans="2:10">
      <c r="B17" s="16">
        <v>1</v>
      </c>
      <c r="C17" s="17" t="s">
        <v>31</v>
      </c>
      <c r="D17" s="27">
        <f t="shared" ref="D17:D21" si="0">F5*6</f>
        <v>2100000</v>
      </c>
    </row>
    <row r="18" spans="2:10">
      <c r="B18" s="16">
        <v>2</v>
      </c>
      <c r="C18" s="17" t="s">
        <v>53</v>
      </c>
      <c r="D18" s="27">
        <f t="shared" si="0"/>
        <v>3000000</v>
      </c>
    </row>
    <row r="19" spans="2:10">
      <c r="B19" s="16">
        <v>3</v>
      </c>
      <c r="C19" s="17" t="s">
        <v>32</v>
      </c>
      <c r="D19" s="27">
        <f t="shared" si="0"/>
        <v>4200000</v>
      </c>
    </row>
    <row r="20" spans="2:10">
      <c r="B20" s="16">
        <v>4</v>
      </c>
      <c r="C20" s="17" t="s">
        <v>9</v>
      </c>
      <c r="D20" s="27">
        <f t="shared" si="0"/>
        <v>7800000</v>
      </c>
    </row>
    <row r="21" spans="2:10">
      <c r="B21" s="16">
        <v>5</v>
      </c>
      <c r="C21" s="17" t="s">
        <v>10</v>
      </c>
      <c r="D21" s="27">
        <f t="shared" si="0"/>
        <v>11400000</v>
      </c>
    </row>
    <row r="22" spans="2:10">
      <c r="B22" s="16">
        <v>6</v>
      </c>
      <c r="C22" s="17" t="s">
        <v>54</v>
      </c>
      <c r="D22" s="27">
        <f>F10*6</f>
        <v>23994000</v>
      </c>
    </row>
    <row r="23" spans="2:10">
      <c r="B23" s="20"/>
      <c r="C23" s="21"/>
      <c r="D23" s="28"/>
    </row>
    <row r="25" spans="2:10">
      <c r="B25" s="20"/>
      <c r="D25" s="29"/>
      <c r="E25" s="30"/>
      <c r="F25" s="30"/>
      <c r="G25" s="30"/>
      <c r="H25" s="30"/>
    </row>
    <row r="26" spans="2:10" ht="18">
      <c r="B26" s="13" t="s">
        <v>56</v>
      </c>
      <c r="C26" s="13"/>
      <c r="D26" s="14"/>
      <c r="E26" s="14"/>
      <c r="F26" s="24"/>
    </row>
    <row r="27" spans="2:10">
      <c r="D27" s="31" t="s">
        <v>39</v>
      </c>
      <c r="J27" s="26"/>
    </row>
    <row r="28" spans="2:10">
      <c r="B28" s="15" t="s">
        <v>1</v>
      </c>
      <c r="C28" s="15" t="s">
        <v>2</v>
      </c>
      <c r="D28" s="15" t="s">
        <v>13</v>
      </c>
    </row>
    <row r="29" spans="2:10">
      <c r="B29" s="16">
        <v>1</v>
      </c>
      <c r="C29" s="17" t="s">
        <v>31</v>
      </c>
      <c r="D29" s="27">
        <f t="shared" ref="D29:D33" si="1">F5*12</f>
        <v>4200000</v>
      </c>
      <c r="J29" s="26"/>
    </row>
    <row r="30" spans="2:10">
      <c r="B30" s="16">
        <v>2</v>
      </c>
      <c r="C30" s="17" t="s">
        <v>53</v>
      </c>
      <c r="D30" s="27">
        <f t="shared" si="1"/>
        <v>6000000</v>
      </c>
      <c r="J30" s="26"/>
    </row>
    <row r="31" spans="2:10">
      <c r="B31" s="16">
        <v>3</v>
      </c>
      <c r="C31" s="17" t="s">
        <v>32</v>
      </c>
      <c r="D31" s="27">
        <f t="shared" si="1"/>
        <v>8400000</v>
      </c>
    </row>
    <row r="32" spans="2:10">
      <c r="B32" s="16">
        <v>4</v>
      </c>
      <c r="C32" s="17" t="s">
        <v>9</v>
      </c>
      <c r="D32" s="27">
        <f t="shared" si="1"/>
        <v>15600000</v>
      </c>
    </row>
    <row r="33" spans="2:10">
      <c r="B33" s="16">
        <v>5</v>
      </c>
      <c r="C33" s="17" t="s">
        <v>10</v>
      </c>
      <c r="D33" s="27">
        <f t="shared" si="1"/>
        <v>22800000</v>
      </c>
    </row>
    <row r="34" spans="2:10">
      <c r="B34" s="16">
        <v>6</v>
      </c>
      <c r="C34" s="17" t="s">
        <v>54</v>
      </c>
      <c r="D34" s="27">
        <f>F10*12</f>
        <v>47988000</v>
      </c>
    </row>
    <row r="35" spans="2:10">
      <c r="B35" s="20"/>
      <c r="D35" s="29"/>
      <c r="E35" s="30"/>
      <c r="F35" s="30"/>
      <c r="G35" s="30"/>
      <c r="H35" s="30"/>
    </row>
    <row r="37" spans="2:10" ht="18">
      <c r="B37" s="13" t="s">
        <v>57</v>
      </c>
      <c r="C37" s="13"/>
      <c r="D37" s="14"/>
    </row>
    <row r="38" spans="2:10">
      <c r="B38" s="1"/>
      <c r="C38" s="1"/>
      <c r="F38" s="1"/>
    </row>
    <row r="39" spans="2:10">
      <c r="B39" s="15" t="s">
        <v>1</v>
      </c>
      <c r="C39" s="15" t="s">
        <v>2</v>
      </c>
      <c r="D39" s="15" t="s">
        <v>3</v>
      </c>
      <c r="F39" s="15" t="s">
        <v>4</v>
      </c>
    </row>
    <row r="40" spans="2:10">
      <c r="B40" s="16">
        <v>1</v>
      </c>
      <c r="C40" s="17" t="s">
        <v>41</v>
      </c>
      <c r="D40" s="27">
        <f>F40*12</f>
        <v>6000000</v>
      </c>
      <c r="F40" s="19">
        <v>500000</v>
      </c>
    </row>
    <row r="41" spans="2:10">
      <c r="B41" s="16">
        <v>2</v>
      </c>
      <c r="C41" s="17" t="s">
        <v>42</v>
      </c>
      <c r="D41" s="27">
        <f t="shared" ref="D41:D42" si="2">F41*12</f>
        <v>9600000</v>
      </c>
      <c r="F41" s="19">
        <v>800000</v>
      </c>
    </row>
    <row r="42" spans="2:10">
      <c r="B42" s="16">
        <v>3</v>
      </c>
      <c r="C42" s="17" t="s">
        <v>43</v>
      </c>
      <c r="D42" s="27">
        <f t="shared" si="2"/>
        <v>14400000</v>
      </c>
      <c r="F42" s="19">
        <v>1200000</v>
      </c>
    </row>
    <row r="43" spans="2:10">
      <c r="B43" s="20"/>
      <c r="C43" s="21"/>
      <c r="D43" s="22"/>
      <c r="F43" s="23"/>
    </row>
    <row r="45" spans="2:10" ht="18">
      <c r="B45" s="13" t="s">
        <v>58</v>
      </c>
      <c r="C45" s="13"/>
      <c r="D45" s="14"/>
      <c r="E45" s="14"/>
      <c r="F45" s="24"/>
    </row>
    <row r="46" spans="2:10">
      <c r="D46" s="25" t="s">
        <v>27</v>
      </c>
      <c r="J46" s="26"/>
    </row>
    <row r="47" spans="2:10">
      <c r="B47" s="15" t="s">
        <v>1</v>
      </c>
      <c r="C47" s="15" t="s">
        <v>2</v>
      </c>
      <c r="D47" s="15" t="s">
        <v>13</v>
      </c>
      <c r="J47" s="26"/>
    </row>
    <row r="48" spans="2:10">
      <c r="B48" s="16">
        <v>1</v>
      </c>
      <c r="C48" s="17" t="s">
        <v>41</v>
      </c>
      <c r="D48" s="27">
        <f t="shared" ref="D48:D50" si="3">F40*6</f>
        <v>3000000</v>
      </c>
    </row>
    <row r="49" spans="2:10">
      <c r="B49" s="16">
        <v>2</v>
      </c>
      <c r="C49" s="17" t="s">
        <v>42</v>
      </c>
      <c r="D49" s="27">
        <f t="shared" si="3"/>
        <v>4800000</v>
      </c>
    </row>
    <row r="50" spans="2:10">
      <c r="B50" s="16">
        <v>3</v>
      </c>
      <c r="C50" s="17" t="s">
        <v>43</v>
      </c>
      <c r="D50" s="27">
        <f t="shared" si="3"/>
        <v>7200000</v>
      </c>
    </row>
    <row r="51" spans="2:10">
      <c r="B51" s="20"/>
      <c r="D51" s="29"/>
      <c r="E51" s="30"/>
      <c r="F51" s="30"/>
      <c r="G51" s="30"/>
      <c r="H51" s="30"/>
    </row>
    <row r="52" spans="2:10" ht="18">
      <c r="B52" s="13" t="s">
        <v>59</v>
      </c>
      <c r="C52" s="13"/>
      <c r="D52" s="14"/>
      <c r="E52" s="14"/>
      <c r="F52" s="24"/>
    </row>
    <row r="53" spans="2:10">
      <c r="D53" s="31" t="s">
        <v>39</v>
      </c>
      <c r="J53" s="26"/>
    </row>
    <row r="54" spans="2:10">
      <c r="B54" s="15" t="s">
        <v>1</v>
      </c>
      <c r="C54" s="15" t="s">
        <v>2</v>
      </c>
      <c r="D54" s="15" t="s">
        <v>13</v>
      </c>
    </row>
    <row r="55" spans="2:10">
      <c r="B55" s="16">
        <v>1</v>
      </c>
      <c r="C55" s="17" t="s">
        <v>41</v>
      </c>
      <c r="D55" s="27">
        <f t="shared" ref="D55:D57" si="4">F40*12</f>
        <v>6000000</v>
      </c>
      <c r="J55" s="26"/>
    </row>
    <row r="56" spans="2:10">
      <c r="B56" s="16">
        <v>2</v>
      </c>
      <c r="C56" s="17" t="s">
        <v>42</v>
      </c>
      <c r="D56" s="27">
        <f t="shared" si="4"/>
        <v>9600000</v>
      </c>
      <c r="J56" s="26"/>
    </row>
    <row r="57" spans="2:10">
      <c r="B57" s="16">
        <v>3</v>
      </c>
      <c r="C57" s="17" t="s">
        <v>43</v>
      </c>
      <c r="D57" s="27">
        <f t="shared" si="4"/>
        <v>14400000</v>
      </c>
    </row>
  </sheetData>
  <pageMargins left="0.25" right="0.25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E80"/>
  <sheetViews>
    <sheetView topLeftCell="A30" zoomScale="70" zoomScaleNormal="70" workbookViewId="0">
      <selection activeCell="E73" sqref="E73"/>
    </sheetView>
  </sheetViews>
  <sheetFormatPr defaultColWidth="8.88671875" defaultRowHeight="14.4"/>
  <cols>
    <col min="1" max="1" width="3" customWidth="1"/>
    <col min="2" max="2" width="5.33203125" customWidth="1"/>
    <col min="3" max="3" width="49.6640625" customWidth="1"/>
    <col min="4" max="4" width="31.5546875" hidden="1" customWidth="1"/>
    <col min="5" max="5" width="32" customWidth="1"/>
    <col min="6" max="6" width="15.6640625" customWidth="1"/>
    <col min="7" max="7" width="17" customWidth="1"/>
    <col min="8" max="8" width="24" customWidth="1"/>
    <col min="9" max="9" width="72" customWidth="1"/>
    <col min="10" max="10" width="15.5546875" customWidth="1"/>
    <col min="11" max="11" width="21.109375" customWidth="1"/>
    <col min="12" max="12" width="11.88671875" customWidth="1"/>
    <col min="13" max="13" width="12.5546875" customWidth="1"/>
    <col min="14" max="14" width="10.109375" customWidth="1"/>
    <col min="18" max="18" width="13.109375" customWidth="1"/>
  </cols>
  <sheetData>
    <row r="2" spans="2:5">
      <c r="C2" s="1" t="s">
        <v>60</v>
      </c>
    </row>
    <row r="3" spans="2:5">
      <c r="B3" s="2" t="s">
        <v>1</v>
      </c>
      <c r="C3" s="2" t="s">
        <v>2</v>
      </c>
      <c r="D3" s="2" t="s">
        <v>61</v>
      </c>
      <c r="E3" s="2" t="s">
        <v>62</v>
      </c>
    </row>
    <row r="4" spans="2:5">
      <c r="B4" s="37">
        <v>1</v>
      </c>
      <c r="C4" s="41" t="s">
        <v>63</v>
      </c>
      <c r="D4" s="5" t="s">
        <v>64</v>
      </c>
      <c r="E4" s="47">
        <v>15000</v>
      </c>
    </row>
    <row r="5" spans="2:5">
      <c r="B5" s="38"/>
      <c r="C5" s="42"/>
      <c r="D5" s="5" t="s">
        <v>65</v>
      </c>
      <c r="E5" s="48"/>
    </row>
    <row r="6" spans="2:5">
      <c r="B6" s="39"/>
      <c r="C6" s="43"/>
      <c r="D6" s="7" t="s">
        <v>66</v>
      </c>
      <c r="E6" s="49"/>
    </row>
    <row r="7" spans="2:5" ht="14.4" customHeight="1">
      <c r="B7" s="37">
        <f>B4+1</f>
        <v>2</v>
      </c>
      <c r="C7" s="44" t="s">
        <v>67</v>
      </c>
      <c r="D7" s="7" t="s">
        <v>68</v>
      </c>
      <c r="E7" s="47">
        <v>45000</v>
      </c>
    </row>
    <row r="8" spans="2:5">
      <c r="B8" s="38"/>
      <c r="C8" s="45"/>
      <c r="D8" s="7" t="s">
        <v>69</v>
      </c>
      <c r="E8" s="48"/>
    </row>
    <row r="9" spans="2:5">
      <c r="B9" s="38"/>
      <c r="C9" s="45"/>
      <c r="D9" s="7" t="s">
        <v>65</v>
      </c>
      <c r="E9" s="48"/>
    </row>
    <row r="10" spans="2:5">
      <c r="B10" s="38"/>
      <c r="C10" s="46"/>
      <c r="D10" s="7" t="s">
        <v>66</v>
      </c>
      <c r="E10" s="49"/>
    </row>
    <row r="11" spans="2:5" ht="14.85" customHeight="1">
      <c r="B11" s="37">
        <v>3</v>
      </c>
      <c r="C11" s="44" t="s">
        <v>70</v>
      </c>
      <c r="D11" s="7" t="s">
        <v>71</v>
      </c>
      <c r="E11" s="47">
        <v>55000</v>
      </c>
    </row>
    <row r="12" spans="2:5">
      <c r="B12" s="38"/>
      <c r="C12" s="45"/>
      <c r="D12" s="7" t="s">
        <v>69</v>
      </c>
      <c r="E12" s="48"/>
    </row>
    <row r="13" spans="2:5">
      <c r="B13" s="38"/>
      <c r="C13" s="45"/>
      <c r="D13" s="7" t="s">
        <v>65</v>
      </c>
      <c r="E13" s="48"/>
    </row>
    <row r="14" spans="2:5">
      <c r="B14" s="38"/>
      <c r="C14" s="46"/>
      <c r="D14" s="7" t="s">
        <v>66</v>
      </c>
      <c r="E14" s="49"/>
    </row>
    <row r="15" spans="2:5">
      <c r="B15" s="37">
        <v>4</v>
      </c>
      <c r="C15" s="41" t="s">
        <v>72</v>
      </c>
      <c r="D15" s="8" t="s">
        <v>73</v>
      </c>
      <c r="E15" s="50">
        <v>30000</v>
      </c>
    </row>
    <row r="16" spans="2:5">
      <c r="B16" s="38"/>
      <c r="C16" s="42"/>
      <c r="D16" s="7" t="s">
        <v>65</v>
      </c>
      <c r="E16" s="51"/>
    </row>
    <row r="17" spans="2:5">
      <c r="B17" s="39"/>
      <c r="C17" s="43"/>
      <c r="D17" s="7" t="s">
        <v>66</v>
      </c>
      <c r="E17" s="43"/>
    </row>
    <row r="18" spans="2:5" ht="14.4" customHeight="1">
      <c r="B18" s="37">
        <v>5</v>
      </c>
      <c r="C18" s="41" t="s">
        <v>74</v>
      </c>
      <c r="D18" s="8" t="s">
        <v>75</v>
      </c>
      <c r="E18" s="52">
        <v>26500</v>
      </c>
    </row>
    <row r="19" spans="2:5" ht="24" customHeight="1">
      <c r="B19" s="39"/>
      <c r="C19" s="43"/>
      <c r="D19" s="7" t="s">
        <v>66</v>
      </c>
      <c r="E19" s="53"/>
    </row>
    <row r="20" spans="2:5">
      <c r="B20" s="37">
        <v>6</v>
      </c>
      <c r="C20" s="41" t="s">
        <v>76</v>
      </c>
      <c r="D20" s="5" t="s">
        <v>77</v>
      </c>
      <c r="E20" s="47">
        <v>45000</v>
      </c>
    </row>
    <row r="21" spans="2:5">
      <c r="B21" s="38"/>
      <c r="C21" s="42"/>
      <c r="D21" s="5" t="s">
        <v>78</v>
      </c>
      <c r="E21" s="48"/>
    </row>
    <row r="22" spans="2:5">
      <c r="B22" s="38"/>
      <c r="C22" s="42"/>
      <c r="D22" s="5" t="s">
        <v>64</v>
      </c>
      <c r="E22" s="48"/>
    </row>
    <row r="23" spans="2:5">
      <c r="B23" s="38"/>
      <c r="C23" s="42"/>
      <c r="D23" s="7" t="s">
        <v>65</v>
      </c>
      <c r="E23" s="48"/>
    </row>
    <row r="24" spans="2:5">
      <c r="B24" s="39"/>
      <c r="C24" s="43"/>
      <c r="D24" s="7" t="s">
        <v>66</v>
      </c>
      <c r="E24" s="49"/>
    </row>
    <row r="25" spans="2:5">
      <c r="B25" s="37">
        <v>7</v>
      </c>
      <c r="C25" s="41" t="s">
        <v>79</v>
      </c>
      <c r="D25" s="7" t="s">
        <v>68</v>
      </c>
      <c r="E25" s="47">
        <v>90000</v>
      </c>
    </row>
    <row r="26" spans="2:5">
      <c r="B26" s="38"/>
      <c r="C26" s="42"/>
      <c r="D26" s="7" t="s">
        <v>69</v>
      </c>
      <c r="E26" s="48"/>
    </row>
    <row r="27" spans="2:5">
      <c r="B27" s="38"/>
      <c r="C27" s="42"/>
      <c r="D27" s="5" t="s">
        <v>78</v>
      </c>
      <c r="E27" s="48"/>
    </row>
    <row r="28" spans="2:5">
      <c r="B28" s="38"/>
      <c r="C28" s="42"/>
      <c r="D28" s="5" t="s">
        <v>64</v>
      </c>
      <c r="E28" s="48"/>
    </row>
    <row r="29" spans="2:5">
      <c r="B29" s="38"/>
      <c r="C29" s="42"/>
      <c r="D29" s="7" t="s">
        <v>65</v>
      </c>
      <c r="E29" s="48"/>
    </row>
    <row r="30" spans="2:5">
      <c r="B30" s="39"/>
      <c r="C30" s="43"/>
      <c r="D30" s="7" t="s">
        <v>66</v>
      </c>
      <c r="E30" s="49"/>
    </row>
    <row r="31" spans="2:5">
      <c r="B31" s="37">
        <v>8</v>
      </c>
      <c r="C31" s="41" t="s">
        <v>80</v>
      </c>
      <c r="D31" s="7" t="s">
        <v>71</v>
      </c>
      <c r="E31" s="47">
        <v>100000</v>
      </c>
    </row>
    <row r="32" spans="2:5">
      <c r="B32" s="38"/>
      <c r="C32" s="42"/>
      <c r="D32" s="7" t="s">
        <v>69</v>
      </c>
      <c r="E32" s="48"/>
    </row>
    <row r="33" spans="2:5">
      <c r="B33" s="38"/>
      <c r="C33" s="42"/>
      <c r="D33" s="5" t="s">
        <v>78</v>
      </c>
      <c r="E33" s="48"/>
    </row>
    <row r="34" spans="2:5">
      <c r="B34" s="38"/>
      <c r="C34" s="42"/>
      <c r="D34" s="5" t="s">
        <v>64</v>
      </c>
      <c r="E34" s="48"/>
    </row>
    <row r="35" spans="2:5">
      <c r="B35" s="38"/>
      <c r="C35" s="42"/>
      <c r="D35" s="7" t="s">
        <v>65</v>
      </c>
      <c r="E35" s="48"/>
    </row>
    <row r="36" spans="2:5">
      <c r="B36" s="39"/>
      <c r="C36" s="43"/>
      <c r="D36" s="7" t="s">
        <v>66</v>
      </c>
      <c r="E36" s="49"/>
    </row>
    <row r="37" spans="2:5">
      <c r="B37" s="37">
        <v>9</v>
      </c>
      <c r="C37" s="41" t="s">
        <v>81</v>
      </c>
      <c r="D37" s="5" t="s">
        <v>78</v>
      </c>
      <c r="E37" s="47">
        <v>40000</v>
      </c>
    </row>
    <row r="38" spans="2:5">
      <c r="B38" s="39"/>
      <c r="C38" s="43"/>
      <c r="D38" s="7" t="s">
        <v>66</v>
      </c>
      <c r="E38" s="49"/>
    </row>
    <row r="39" spans="2:5">
      <c r="B39" s="37">
        <v>10</v>
      </c>
      <c r="C39" s="41" t="s">
        <v>82</v>
      </c>
      <c r="D39" s="5" t="s">
        <v>83</v>
      </c>
      <c r="E39" s="47">
        <v>36000</v>
      </c>
    </row>
    <row r="40" spans="2:5">
      <c r="B40" s="39"/>
      <c r="C40" s="43"/>
      <c r="D40" s="7" t="s">
        <v>66</v>
      </c>
      <c r="E40" s="49"/>
    </row>
    <row r="41" spans="2:5">
      <c r="B41" s="37">
        <v>11</v>
      </c>
      <c r="C41" s="41" t="s">
        <v>84</v>
      </c>
      <c r="D41" s="5" t="s">
        <v>85</v>
      </c>
      <c r="E41" s="47">
        <v>59000</v>
      </c>
    </row>
    <row r="42" spans="2:5">
      <c r="B42" s="39"/>
      <c r="C42" s="43"/>
      <c r="D42" s="7" t="s">
        <v>66</v>
      </c>
      <c r="E42" s="49"/>
    </row>
    <row r="43" spans="2:5">
      <c r="B43" s="37">
        <v>12</v>
      </c>
      <c r="C43" s="41" t="s">
        <v>86</v>
      </c>
      <c r="D43" s="5" t="s">
        <v>86</v>
      </c>
      <c r="E43" s="47">
        <v>45000</v>
      </c>
    </row>
    <row r="44" spans="2:5">
      <c r="B44" s="39"/>
      <c r="C44" s="43"/>
      <c r="D44" s="7" t="s">
        <v>66</v>
      </c>
      <c r="E44" s="49"/>
    </row>
    <row r="45" spans="2:5">
      <c r="B45" s="37">
        <v>13</v>
      </c>
      <c r="C45" s="41" t="s">
        <v>87</v>
      </c>
      <c r="D45" s="5" t="s">
        <v>87</v>
      </c>
      <c r="E45" s="47">
        <v>65000</v>
      </c>
    </row>
    <row r="46" spans="2:5">
      <c r="B46" s="39"/>
      <c r="C46" s="43"/>
      <c r="D46" s="7" t="s">
        <v>66</v>
      </c>
      <c r="E46" s="49"/>
    </row>
    <row r="47" spans="2:5">
      <c r="B47" s="37">
        <v>14</v>
      </c>
      <c r="C47" s="41" t="s">
        <v>88</v>
      </c>
      <c r="D47" s="5" t="s">
        <v>88</v>
      </c>
      <c r="E47" s="47">
        <v>175000</v>
      </c>
    </row>
    <row r="48" spans="2:5">
      <c r="B48" s="39"/>
      <c r="C48" s="43"/>
      <c r="D48" s="7" t="s">
        <v>66</v>
      </c>
      <c r="E48" s="49"/>
    </row>
    <row r="49" spans="2:5">
      <c r="B49" s="3">
        <v>15</v>
      </c>
      <c r="C49" s="4" t="s">
        <v>89</v>
      </c>
      <c r="D49" s="5" t="s">
        <v>90</v>
      </c>
      <c r="E49" s="6">
        <v>10500</v>
      </c>
    </row>
    <row r="50" spans="2:5">
      <c r="B50" s="3">
        <v>16</v>
      </c>
      <c r="C50" s="4" t="s">
        <v>91</v>
      </c>
      <c r="D50" s="5" t="s">
        <v>92</v>
      </c>
      <c r="E50" s="6">
        <v>10500</v>
      </c>
    </row>
    <row r="51" spans="2:5">
      <c r="B51" s="3">
        <v>17</v>
      </c>
      <c r="C51" s="4" t="s">
        <v>93</v>
      </c>
      <c r="D51" s="5" t="s">
        <v>92</v>
      </c>
      <c r="E51" s="6">
        <v>17000</v>
      </c>
    </row>
    <row r="52" spans="2:5">
      <c r="B52" s="3">
        <v>18</v>
      </c>
      <c r="C52" s="4" t="s">
        <v>94</v>
      </c>
      <c r="D52" s="5" t="s">
        <v>92</v>
      </c>
      <c r="E52" s="6">
        <v>21000</v>
      </c>
    </row>
    <row r="53" spans="2:5">
      <c r="B53" s="37">
        <v>19</v>
      </c>
      <c r="C53" s="41" t="s">
        <v>95</v>
      </c>
      <c r="D53" s="5" t="s">
        <v>96</v>
      </c>
      <c r="E53" s="47">
        <v>16200</v>
      </c>
    </row>
    <row r="54" spans="2:5">
      <c r="B54" s="39"/>
      <c r="C54" s="43"/>
      <c r="D54" s="7" t="s">
        <v>66</v>
      </c>
      <c r="E54" s="49"/>
    </row>
    <row r="55" spans="2:5">
      <c r="B55" s="37">
        <v>20</v>
      </c>
      <c r="C55" s="41" t="s">
        <v>97</v>
      </c>
      <c r="D55" s="5" t="s">
        <v>98</v>
      </c>
      <c r="E55" s="47">
        <v>16200</v>
      </c>
    </row>
    <row r="56" spans="2:5">
      <c r="B56" s="39"/>
      <c r="C56" s="43"/>
      <c r="D56" s="7" t="s">
        <v>66</v>
      </c>
      <c r="E56" s="49"/>
    </row>
    <row r="57" spans="2:5">
      <c r="B57" s="37">
        <v>21</v>
      </c>
      <c r="C57" s="41" t="s">
        <v>99</v>
      </c>
      <c r="D57" s="5" t="s">
        <v>100</v>
      </c>
      <c r="E57" s="47">
        <v>22750</v>
      </c>
    </row>
    <row r="58" spans="2:5">
      <c r="B58" s="39"/>
      <c r="C58" s="43"/>
      <c r="D58" s="7" t="s">
        <v>66</v>
      </c>
      <c r="E58" s="49"/>
    </row>
    <row r="59" spans="2:5">
      <c r="B59" s="9">
        <v>22</v>
      </c>
      <c r="C59" s="7" t="s">
        <v>101</v>
      </c>
      <c r="D59" s="7" t="s">
        <v>102</v>
      </c>
      <c r="E59" s="10">
        <v>7000</v>
      </c>
    </row>
    <row r="60" spans="2:5">
      <c r="B60" s="40">
        <v>23</v>
      </c>
      <c r="C60" s="44" t="s">
        <v>103</v>
      </c>
      <c r="D60" s="7" t="s">
        <v>71</v>
      </c>
      <c r="E60" s="47">
        <v>60000</v>
      </c>
    </row>
    <row r="61" spans="2:5">
      <c r="B61" s="40"/>
      <c r="C61" s="45"/>
      <c r="D61" s="7" t="s">
        <v>69</v>
      </c>
      <c r="E61" s="48"/>
    </row>
    <row r="62" spans="2:5">
      <c r="B62" s="40"/>
      <c r="C62" s="45"/>
      <c r="D62" s="7" t="s">
        <v>65</v>
      </c>
      <c r="E62" s="48"/>
    </row>
    <row r="63" spans="2:5">
      <c r="B63" s="40"/>
      <c r="C63" s="46"/>
      <c r="D63" s="7" t="s">
        <v>104</v>
      </c>
      <c r="E63" s="49"/>
    </row>
    <row r="65" spans="2:3">
      <c r="C65" s="1" t="s">
        <v>105</v>
      </c>
    </row>
    <row r="66" spans="2:3">
      <c r="B66" s="2" t="s">
        <v>1</v>
      </c>
      <c r="C66" s="2" t="s">
        <v>2</v>
      </c>
    </row>
    <row r="67" spans="2:3">
      <c r="B67" s="11">
        <v>1</v>
      </c>
      <c r="C67" s="5" t="s">
        <v>106</v>
      </c>
    </row>
    <row r="68" spans="2:3">
      <c r="B68" s="11">
        <f t="shared" ref="B68:B74" si="0">B67+1</f>
        <v>2</v>
      </c>
      <c r="C68" s="11" t="s">
        <v>107</v>
      </c>
    </row>
    <row r="69" spans="2:3">
      <c r="B69" s="11">
        <f t="shared" si="0"/>
        <v>3</v>
      </c>
      <c r="C69" s="11" t="s">
        <v>108</v>
      </c>
    </row>
    <row r="70" spans="2:3">
      <c r="B70" s="11">
        <f t="shared" si="0"/>
        <v>4</v>
      </c>
      <c r="C70" s="11" t="s">
        <v>109</v>
      </c>
    </row>
    <row r="71" spans="2:3">
      <c r="B71" s="11">
        <f t="shared" si="0"/>
        <v>5</v>
      </c>
      <c r="C71" s="11" t="s">
        <v>110</v>
      </c>
    </row>
    <row r="72" spans="2:3">
      <c r="B72" s="11">
        <f t="shared" si="0"/>
        <v>6</v>
      </c>
      <c r="C72" s="11" t="s">
        <v>111</v>
      </c>
    </row>
    <row r="73" spans="2:3">
      <c r="B73" s="11">
        <f t="shared" si="0"/>
        <v>7</v>
      </c>
      <c r="C73" s="11" t="s">
        <v>112</v>
      </c>
    </row>
    <row r="74" spans="2:3">
      <c r="B74" s="11">
        <f t="shared" si="0"/>
        <v>8</v>
      </c>
      <c r="C74" s="11" t="s">
        <v>113</v>
      </c>
    </row>
    <row r="75" spans="2:3">
      <c r="B75" s="11">
        <f t="shared" ref="B75:B80" si="1">B74+1</f>
        <v>9</v>
      </c>
      <c r="C75" s="11" t="s">
        <v>114</v>
      </c>
    </row>
    <row r="76" spans="2:3">
      <c r="B76" s="11">
        <f t="shared" si="1"/>
        <v>10</v>
      </c>
      <c r="C76" s="11" t="s">
        <v>115</v>
      </c>
    </row>
    <row r="77" spans="2:3">
      <c r="B77" s="11">
        <f t="shared" si="1"/>
        <v>11</v>
      </c>
      <c r="C77" s="5" t="s">
        <v>116</v>
      </c>
    </row>
    <row r="78" spans="2:3">
      <c r="B78" s="11">
        <f t="shared" si="1"/>
        <v>12</v>
      </c>
      <c r="C78" s="5" t="s">
        <v>117</v>
      </c>
    </row>
    <row r="79" spans="2:3">
      <c r="B79" s="11">
        <f t="shared" si="1"/>
        <v>13</v>
      </c>
      <c r="C79" s="5" t="s">
        <v>118</v>
      </c>
    </row>
    <row r="80" spans="2:3">
      <c r="B80" s="11">
        <f t="shared" si="1"/>
        <v>14</v>
      </c>
      <c r="C80" s="11" t="s">
        <v>119</v>
      </c>
    </row>
  </sheetData>
  <mergeCells count="54">
    <mergeCell ref="E55:E56"/>
    <mergeCell ref="E57:E58"/>
    <mergeCell ref="E60:E63"/>
    <mergeCell ref="E41:E42"/>
    <mergeCell ref="E43:E44"/>
    <mergeCell ref="E45:E46"/>
    <mergeCell ref="E47:E48"/>
    <mergeCell ref="E53:E54"/>
    <mergeCell ref="E20:E24"/>
    <mergeCell ref="E25:E30"/>
    <mergeCell ref="E31:E36"/>
    <mergeCell ref="E37:E38"/>
    <mergeCell ref="E39:E40"/>
    <mergeCell ref="E4:E6"/>
    <mergeCell ref="E7:E10"/>
    <mergeCell ref="E11:E14"/>
    <mergeCell ref="E15:E17"/>
    <mergeCell ref="E18:E19"/>
    <mergeCell ref="C47:C48"/>
    <mergeCell ref="C53:C54"/>
    <mergeCell ref="C55:C56"/>
    <mergeCell ref="C57:C58"/>
    <mergeCell ref="C60:C63"/>
    <mergeCell ref="B55:B56"/>
    <mergeCell ref="B57:B58"/>
    <mergeCell ref="B60:B63"/>
    <mergeCell ref="C4:C6"/>
    <mergeCell ref="C7:C10"/>
    <mergeCell ref="C11:C14"/>
    <mergeCell ref="C15:C17"/>
    <mergeCell ref="C18:C19"/>
    <mergeCell ref="C20:C24"/>
    <mergeCell ref="C25:C30"/>
    <mergeCell ref="C31:C36"/>
    <mergeCell ref="C37:C38"/>
    <mergeCell ref="C39:C40"/>
    <mergeCell ref="C41:C42"/>
    <mergeCell ref="C43:C44"/>
    <mergeCell ref="C45:C46"/>
    <mergeCell ref="B41:B42"/>
    <mergeCell ref="B43:B44"/>
    <mergeCell ref="B45:B46"/>
    <mergeCell ref="B47:B48"/>
    <mergeCell ref="B53:B54"/>
    <mergeCell ref="B20:B24"/>
    <mergeCell ref="B25:B30"/>
    <mergeCell ref="B31:B36"/>
    <mergeCell ref="B37:B38"/>
    <mergeCell ref="B39:B40"/>
    <mergeCell ref="B4:B6"/>
    <mergeCell ref="B7:B10"/>
    <mergeCell ref="B11:B14"/>
    <mergeCell ref="B15:B17"/>
    <mergeCell ref="B18:B19"/>
  </mergeCells>
  <pageMargins left="0.25" right="0.25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Regular Promo</vt:lpstr>
      <vt:lpstr>Regular Promo_CBN Fiber Safe</vt:lpstr>
      <vt:lpstr>SOHO PRO</vt:lpstr>
      <vt:lpstr>Regular PIK 1 JMS Area</vt:lpstr>
      <vt:lpstr>Regular PIK 2 JMS Area</vt:lpstr>
      <vt:lpstr>Regular PIK Golf Island</vt:lpstr>
      <vt:lpstr>VAS 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RRS</dc:creator>
  <cp:lastModifiedBy>MOCHAMMAD IKHSAN</cp:lastModifiedBy>
  <dcterms:created xsi:type="dcterms:W3CDTF">2026-07-07T08:10:00Z</dcterms:created>
  <dcterms:modified xsi:type="dcterms:W3CDTF">2026-07-09T18:06:06Z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A9D2E0F0CA4644CB891FECD44F114AEC_13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