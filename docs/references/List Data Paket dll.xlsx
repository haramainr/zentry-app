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cun\G\Rafi CBN\cbn-fiber-database\"/>
    </mc:Choice>
  </mc:AlternateContent>
  <xr:revisionPtr revIDLastSave="0" documentId="13_ncr:1_{F07E669F-DE9D-461F-9A79-C0C6B1A68860}" xr6:coauthVersionLast="47" xr6:coauthVersionMax="47" xr10:uidLastSave="{00000000-0000-0000-0000-000000000000}"/>
  <bookViews>
    <workbookView xWindow="-96" yWindow="0" windowWidth="11712" windowHeight="13776" xr2:uid="{08D409A2-2A22-41A9-9079-C19A2222CEAA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5" i="3" l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254" i="3"/>
  <c r="C246" i="3"/>
  <c r="C245" i="3"/>
  <c r="C244" i="3"/>
  <c r="C239" i="3"/>
  <c r="C238" i="3"/>
  <c r="C237" i="3"/>
  <c r="C231" i="3"/>
  <c r="C230" i="3"/>
  <c r="C229" i="3"/>
  <c r="C223" i="3"/>
  <c r="C222" i="3"/>
  <c r="C221" i="3"/>
  <c r="C220" i="3"/>
  <c r="C219" i="3"/>
  <c r="C218" i="3"/>
  <c r="C211" i="3"/>
  <c r="C210" i="3"/>
  <c r="C209" i="3"/>
  <c r="C208" i="3"/>
  <c r="C207" i="3"/>
  <c r="C206" i="3"/>
  <c r="C188" i="3"/>
  <c r="C187" i="3"/>
  <c r="C186" i="3"/>
  <c r="C181" i="3"/>
  <c r="C180" i="3"/>
  <c r="C179" i="3"/>
  <c r="C173" i="3"/>
  <c r="C172" i="3"/>
  <c r="C171" i="3"/>
  <c r="C166" i="3"/>
  <c r="C165" i="3"/>
  <c r="C164" i="3"/>
  <c r="C163" i="3"/>
  <c r="C162" i="3"/>
  <c r="C156" i="3"/>
  <c r="C155" i="3"/>
  <c r="C154" i="3"/>
  <c r="C153" i="3"/>
  <c r="C152" i="3"/>
  <c r="C137" i="3"/>
  <c r="C136" i="3"/>
  <c r="C135" i="3"/>
  <c r="C130" i="3"/>
  <c r="C129" i="3"/>
  <c r="C128" i="3"/>
  <c r="C122" i="3"/>
  <c r="C121" i="3"/>
  <c r="C120" i="3"/>
  <c r="C114" i="3"/>
  <c r="C113" i="3"/>
  <c r="C112" i="3"/>
  <c r="C111" i="3"/>
  <c r="C110" i="3"/>
  <c r="C104" i="3"/>
  <c r="C103" i="3"/>
  <c r="C102" i="3"/>
  <c r="C101" i="3"/>
  <c r="C100" i="3"/>
  <c r="C85" i="3"/>
  <c r="C84" i="3"/>
  <c r="C78" i="3"/>
  <c r="C77" i="3"/>
  <c r="C64" i="3"/>
  <c r="C63" i="3"/>
  <c r="C62" i="3"/>
  <c r="C61" i="3"/>
  <c r="C60" i="3"/>
  <c r="C59" i="3"/>
  <c r="C58" i="3"/>
  <c r="C52" i="3"/>
  <c r="C51" i="3"/>
  <c r="C50" i="3"/>
  <c r="C49" i="3"/>
  <c r="C48" i="3"/>
  <c r="C47" i="3"/>
  <c r="C46" i="3"/>
  <c r="C28" i="3"/>
  <c r="C27" i="3"/>
  <c r="C26" i="3"/>
  <c r="C25" i="3"/>
  <c r="C24" i="3"/>
  <c r="C18" i="3"/>
  <c r="C17" i="3"/>
  <c r="C16" i="3"/>
  <c r="C15" i="3"/>
  <c r="C14" i="3"/>
</calcChain>
</file>

<file path=xl/sharedStrings.xml><?xml version="1.0" encoding="utf-8"?>
<sst xmlns="http://schemas.openxmlformats.org/spreadsheetml/2006/main" count="374" uniqueCount="120">
  <si>
    <t>Promo Name: Regular Promo July 2026 - NAB</t>
  </si>
  <si>
    <t>No</t>
  </si>
  <si>
    <t>Package Name</t>
  </si>
  <si>
    <t>Setup Fee</t>
  </si>
  <si>
    <t>CBN Fiber 20</t>
  </si>
  <si>
    <t>Free</t>
  </si>
  <si>
    <t>CBN Fiber 100</t>
  </si>
  <si>
    <t>CBN Fiber 150</t>
  </si>
  <si>
    <t>CBN Fiber 200</t>
  </si>
  <si>
    <t>CBN Fiber 300</t>
  </si>
  <si>
    <t>Promo Name: Regular Promo July 2026 - Bill in Advance Pay 5 Get 6 - NAB</t>
  </si>
  <si>
    <t>Advance Pay 6 Mth</t>
  </si>
  <si>
    <t>Total payment</t>
  </si>
  <si>
    <t xml:space="preserve">Promo Name: Regular Promo July 2026 - Bill in Advance Pay 9 Get 12 - NAB </t>
  </si>
  <si>
    <t>Advance Pay 12 Mth</t>
  </si>
  <si>
    <t>CBN Fiber Safe 20</t>
  </si>
  <si>
    <t>CBN Fiber Safe 100</t>
  </si>
  <si>
    <t>CBN Fiber Safe 150</t>
  </si>
  <si>
    <t>CBN Fiber Safe 200</t>
  </si>
  <si>
    <t>CBN Fiber Safe 300</t>
  </si>
  <si>
    <t>CBN Fiber Safe 500</t>
  </si>
  <si>
    <t>CBN Fiber Safe 1Gbps</t>
  </si>
  <si>
    <t>VAS Package Berbayar</t>
  </si>
  <si>
    <t>Content</t>
  </si>
  <si>
    <t>Bundling Price/Mth</t>
  </si>
  <si>
    <t>DramaFlix +50Mbps</t>
  </si>
  <si>
    <t>CUBMU Premium</t>
  </si>
  <si>
    <t>Genflix Premium</t>
  </si>
  <si>
    <t>XtraSpeed +50Mbps</t>
  </si>
  <si>
    <t>DensTV STB</t>
  </si>
  <si>
    <t>Dens TV Android Box</t>
  </si>
  <si>
    <t>Dens Go Premium</t>
  </si>
  <si>
    <t>DensTV STB V.3</t>
  </si>
  <si>
    <t>Dens TV Android Box V.3</t>
  </si>
  <si>
    <t>GamersCode Excite +50Mbps</t>
  </si>
  <si>
    <t>GamersCode Excite</t>
  </si>
  <si>
    <t>Weekly Diamond Pass +50Mbps</t>
  </si>
  <si>
    <t>Weekly Diamond Pass</t>
  </si>
  <si>
    <t>Stream Pack New +50Mbps</t>
  </si>
  <si>
    <t>Dens Go Lite</t>
  </si>
  <si>
    <t>Vision+ Premium Sport</t>
  </si>
  <si>
    <t>Lifestyle Pack +50Mbps</t>
  </si>
  <si>
    <t>Lifestyle Pack V.3 +50Mbps</t>
  </si>
  <si>
    <t>MNC Vision+ Premium Sport</t>
  </si>
  <si>
    <t>MNC Vision+ Premium BeIN Sports</t>
  </si>
  <si>
    <t>Vision+ BeIN Sports</t>
  </si>
  <si>
    <t>MNC Vision+ Premium Ultimate</t>
  </si>
  <si>
    <t>Vision+ Premium Ultimate</t>
  </si>
  <si>
    <t>Vidio Platinum</t>
  </si>
  <si>
    <t>Vidio Platinum Extra</t>
  </si>
  <si>
    <t>Vidio Ultimate</t>
  </si>
  <si>
    <t>Trend Micro Mobile Security - 1 Device</t>
  </si>
  <si>
    <t>Mobile Security</t>
  </si>
  <si>
    <t>Trend Micro Maximum Security - 1 Device</t>
  </si>
  <si>
    <t>Maximum Security</t>
  </si>
  <si>
    <t>Trend Micro Maximum Security - 3 Device</t>
  </si>
  <si>
    <t>Trend Micro Maximum Security - 5 Device</t>
  </si>
  <si>
    <t>Trend Micro Mobile Security Plus + VPN - 1 Device</t>
  </si>
  <si>
    <t>Mobile Security Plus + VPN</t>
  </si>
  <si>
    <t>Trend Micro Maximum Security Plus + VPN - 1 Device</t>
  </si>
  <si>
    <t>Maximum Security Plus + VPN</t>
  </si>
  <si>
    <t>Trend Micro Device Security Pro - 1 Device</t>
  </si>
  <si>
    <t>Device Security Pro</t>
  </si>
  <si>
    <t>Trend Micro ID Protection - 1 Device</t>
  </si>
  <si>
    <t>ID Protection</t>
  </si>
  <si>
    <t>DensTV STB V.3 (Area JMS)</t>
  </si>
  <si>
    <t>XtraSpeed +25Mbps</t>
  </si>
  <si>
    <t>VAS Package Free</t>
  </si>
  <si>
    <t>CBN Fiber July 2026 Package 1 (15 &amp; 20 Mbps)</t>
  </si>
  <si>
    <t>Cbn Fiber July 2026 Package 2 (100, 150, &amp; 200 Mbps)</t>
  </si>
  <si>
    <t>Cbn Fiber July 2026 Package 3 (300 Mbps)</t>
  </si>
  <si>
    <t>CBN Fiber Safe July 2026 Package 1 (15 &amp; 20 Mbps)</t>
  </si>
  <si>
    <t>CBN Fiber Safe July 2026 Package 2 (100, 150 &amp; 200 Mbps)</t>
  </si>
  <si>
    <t>CBN Fiber Safe July 2026 Package 3 (300 Mbps)</t>
  </si>
  <si>
    <t>Cbn Fiber Safe July 2026 Package 4 (500 &amp; 1Gbps)</t>
  </si>
  <si>
    <t>Trend Micro Maximum Scurity 1 Months - 1 Device (Free)</t>
  </si>
  <si>
    <t>Genflix Premium (Free)</t>
  </si>
  <si>
    <t>Cubmu Lite (Free)</t>
  </si>
  <si>
    <t>Speedboost +50Mbps</t>
  </si>
  <si>
    <t>Speedboost +25Mbps</t>
  </si>
  <si>
    <t>Dens Go Premium (Free)</t>
  </si>
  <si>
    <t>Drama Hits (Free)</t>
  </si>
  <si>
    <t>Promo Name: Regular Promo Juli 2025 - SOHO PRO</t>
  </si>
  <si>
    <t>CBN Fiber PRO 100</t>
  </si>
  <si>
    <t>CBN Fiber PRO 200</t>
  </si>
  <si>
    <t>Promo Name: Regular Promo Juli 2025 - SOHO PRO - Bill in Advance Pay 6 Get 7</t>
  </si>
  <si>
    <t>Advance Pay 7 Mth</t>
  </si>
  <si>
    <t>Promo Name: Regular Promo Juli 2025 - SOHO PRO - Bill in Advance Pay 12 Get 15</t>
  </si>
  <si>
    <t>Advance Pay 15 Mth</t>
  </si>
  <si>
    <t>Promo Name: Regular Promo June 2024 - PIK 1 JMS Area</t>
  </si>
  <si>
    <t>CBN Fiber 50</t>
  </si>
  <si>
    <t>CBN Fiber  100</t>
  </si>
  <si>
    <t>CBN Fiber  300</t>
  </si>
  <si>
    <t>CBN Fiber 500</t>
  </si>
  <si>
    <t>CBN Fiber 1GB</t>
  </si>
  <si>
    <t>Promo Name: Regular Promo June 2024 - PIK 1 JMS Area - Bill in Advance Pay 6 Get 7</t>
  </si>
  <si>
    <t>CBN Fiber 1Gb</t>
  </si>
  <si>
    <t>Promo Name: Regular Promo June 2024 - PIK 1 JMS Area - Bill in Advance Pay 12 Get 14</t>
  </si>
  <si>
    <t>Advance Pay 14 Mth</t>
  </si>
  <si>
    <t>Promo Name: Fiber SOHO Promo - PIK 1 Area June 2024</t>
  </si>
  <si>
    <t>CBN Fiber SOHO 50</t>
  </si>
  <si>
    <t>CBN Fiber SOHO 80</t>
  </si>
  <si>
    <t>CBN Fiber SOHO 100</t>
  </si>
  <si>
    <t>Promo Name: Fiber SOHO Promo - PIK 1 Area - Bill in Advance Pay 6 Get 7 June 2024</t>
  </si>
  <si>
    <t>Promo Name: Fiber SOHO Promo - PIK 1 Area - Bill in Advance Pay 12 Get 14 June 2024</t>
  </si>
  <si>
    <t>Promo Name: Regular Promo July 2024 - PIK 2 JMS Area</t>
  </si>
  <si>
    <t>Promo Name: Regular Promo July 2024 - PIK 2 JMS Area - Bill in Advance Pay 6 Get 7</t>
  </si>
  <si>
    <t>Promo Name: Regular Promo July 2024 - PIK 2 JMS Area - Bill in Advance Pay 12 Get 14</t>
  </si>
  <si>
    <t>Promo Name: Fiber SOHO Promo - PIK 2 Area May 2024</t>
  </si>
  <si>
    <t>Promo Name: Fiber SOHO Promo - PIK 2 Area - Bill in Advance Pay 6 Get 7 June 2024</t>
  </si>
  <si>
    <t>Promo Name: Fiber SOHO Promo - PIK 2 Area - Bill in Advance Pay 12 Get 14 June 2024</t>
  </si>
  <si>
    <t>Promo Name: Regular Promo Maret 2025 - Golf Island Area</t>
  </si>
  <si>
    <t>CBN Fiber  75</t>
  </si>
  <si>
    <t>CBN Fiber 1Gbps</t>
  </si>
  <si>
    <t>Promo Name: Regular Promo Maret 2025 - Golf Island Area - Bill in Advance Pay 6 Get 7</t>
  </si>
  <si>
    <t>Promo Name: Regular Promo Maret 2025 - Golf Island Area - Bill in Advance Pay 12 Get 14</t>
  </si>
  <si>
    <t>Promo Name: Fiber SOHO Promo - Golf Island Area May 2024</t>
  </si>
  <si>
    <t>Promo Name: Fiber SOHO Promo - Golf Island Area - Bill in Advance Pay 6 Get 7 May 2024</t>
  </si>
  <si>
    <t>Promo Name: Fiber SOHO Promo - Golf Island Area - Bill in Advance Pay 12 Get 14 May 2024</t>
  </si>
  <si>
    <t>Basic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</si>
</sst>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</numFmts>
  <fonts count="10">
    <font>
      <sz val="11"/>
      <color theme="1"/>
      <name val="Aptos Narrow"/>
      <family val="2"/>
      <scheme val="minor"/>
    </font>
    <font>
      <b/>
      <sz val="14"/>
      <color theme="1"/>
      <name val="Aptos Narrow"/>
      <charset val="134"/>
      <scheme val="minor"/>
    </font>
    <font>
      <sz val="14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rgb="FF000000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5117038483843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39994506668294322"/>
      </bottom>
      <diagonal/>
    </border>
  </borders>
  <cellStyleXfs count="11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>
      <alignment vertical="center"/>
    </xf>
    <xf numFmtId="0" fontId="5" fillId="0" borderId="0"/>
    <xf numFmtId="43" fontId="8" fillId="0" borderId="0" applyFont="0" applyFill="0" applyBorder="0" applyAlignment="0" applyProtection="0"/>
    <xf numFmtId="0" fontId="9" fillId="0" borderId="0"/>
    <xf numFmtId="0" fontId="7" fillId="0" borderId="7" applyNumberFormat="0" applyFill="0" applyAlignment="0" applyProtection="0"/>
    <xf numFmtId="0" fontId="8" fillId="0" borderId="0"/>
    <xf numFmtId="0" fontId="8" fillId="0" borderId="0"/>
  </cellStyleXfs>
  <cellXfs count="4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Fill="1" applyBorder="1" applyAlignment="1">
      <alignment horizontal="right"/>
    </xf>
    <xf numFmtId="0" fontId="3" fillId="4" borderId="2" xfId="0" applyFont="1" applyFill="1" applyBorder="1"/>
    <xf numFmtId="0" fontId="0" fillId="0" borderId="0" xfId="0" applyAlignment="1">
      <alignment horizontal="center"/>
    </xf>
    <xf numFmtId="166" fontId="0" fillId="0" borderId="0" xfId="2" applyNumberFormat="1" applyFont="1" applyFill="1" applyBorder="1" applyAlignment="1">
      <alignment horizontal="center"/>
    </xf>
    <xf numFmtId="0" fontId="0" fillId="2" borderId="0" xfId="0" applyFill="1"/>
    <xf numFmtId="0" fontId="3" fillId="5" borderId="2" xfId="0" applyFont="1" applyFill="1" applyBorder="1"/>
    <xf numFmtId="0" fontId="0" fillId="0" borderId="1" xfId="0" applyBorder="1" applyAlignment="1">
      <alignment horizontal="left" vertical="center"/>
    </xf>
    <xf numFmtId="3" fontId="6" fillId="0" borderId="1" xfId="0" applyNumberFormat="1" applyFont="1" applyBorder="1" applyAlignment="1">
      <alignment horizontal="right"/>
    </xf>
    <xf numFmtId="0" fontId="3" fillId="6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3" xfId="0" applyBorder="1"/>
    <xf numFmtId="164" fontId="0" fillId="0" borderId="4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164" fontId="0" fillId="0" borderId="3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4" fontId="0" fillId="0" borderId="4" xfId="1" applyNumberFormat="1" applyFont="1" applyFill="1" applyBorder="1" applyAlignment="1">
      <alignment horizontal="center" vertical="center"/>
    </xf>
    <xf numFmtId="164" fontId="0" fillId="0" borderId="6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64" fontId="0" fillId="0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4" fontId="0" fillId="0" borderId="4" xfId="1" applyNumberFormat="1" applyFont="1" applyBorder="1" applyAlignment="1">
      <alignment horizontal="left" vertical="center"/>
    </xf>
    <xf numFmtId="164" fontId="0" fillId="0" borderId="5" xfId="1" applyNumberFormat="1" applyFont="1" applyBorder="1" applyAlignment="1">
      <alignment horizontal="left" vertical="center"/>
    </xf>
    <xf numFmtId="164" fontId="0" fillId="0" borderId="4" xfId="1" applyNumberFormat="1" applyFont="1" applyFill="1" applyBorder="1" applyAlignment="1">
      <alignment horizontal="left" vertical="center"/>
    </xf>
    <xf numFmtId="164" fontId="0" fillId="0" borderId="5" xfId="1" applyNumberFormat="1" applyFont="1" applyFill="1" applyBorder="1" applyAlignment="1">
      <alignment horizontal="left" vertical="center"/>
    </xf>
    <xf numFmtId="164" fontId="0" fillId="0" borderId="1" xfId="1" applyNumberFormat="1" applyFont="1" applyFill="1" applyBorder="1"/>
    <xf numFmtId="166" fontId="0" fillId="0" borderId="1" xfId="2" applyNumberFormat="1" applyFont="1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Fill="1" applyAlignment="1">
      <alignment horizontal="right"/>
    </xf>
    <xf numFmtId="164" fontId="0" fillId="0" borderId="0" xfId="1" applyNumberFormat="1" applyFont="1" applyFill="1"/>
    <xf numFmtId="166" fontId="0" fillId="0" borderId="0" xfId="2" applyNumberFormat="1" applyFont="1" applyFill="1" applyAlignment="1">
      <alignment horizontal="center"/>
    </xf>
  </cellXfs>
  <cellStyles count="11">
    <cellStyle name="Comma 2" xfId="6" xr:uid="{9FBFF9BB-A090-454C-94AC-22494A073205}"/>
    <cellStyle name="Comma 3" xfId="1" xr:uid="{C657CDA1-EB61-4EA3-81A8-6C97AD4665FD}"/>
    <cellStyle name="Comma 4" xfId="2" xr:uid="{1CEE51B4-FEB9-48F3-8D57-4461E25A594F}"/>
    <cellStyle name="Heading 3 2" xfId="8" xr:uid="{4F52058E-852A-4592-9B22-CF62CF94D534}"/>
    <cellStyle name="Normal" xfId="0" builtinId="0"/>
    <cellStyle name="Normal 2" xfId="10" xr:uid="{2739BA51-6C6E-469B-96E4-E2EC24A446D8}"/>
    <cellStyle name="Normal 2 2" xfId="7" xr:uid="{E1731596-DDA3-4539-962E-B764BBD3792D}"/>
    <cellStyle name="Normal 2 2 2" xfId="5" xr:uid="{CA0A71A2-C1AB-45F1-8F8B-B2F56F917378}"/>
    <cellStyle name="Normal 3" xfId="3" xr:uid="{D4B61861-134A-4725-A69F-66E0663B7483}"/>
    <cellStyle name="Normal 4 2" xfId="9" xr:uid="{B411BCAC-45DF-455B-8056-A432E13F9B0A}"/>
    <cellStyle name="Percent 2" xfId="4" xr:uid="{6BB1D5FA-9C17-4689-A625-98ABD9CCD64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7E18C36-A441-425B-8251-2CCADE6D230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5532C68E-20AF-4D49-B756-1F2B09FEB54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A0E1-F50A-4462-9C99-1C5B8819B9C6}">
  <dimension ref="A1:E327"/>
  <sheetViews>
    <sheetView tabSelected="1" zoomScaleNormal="100" workbookViewId="0">
      <selection activeCell="E4" sqref="E4"/>
    </sheetView>
  </sheetViews>
  <sheetFormatPr defaultRowHeight="14.4"/>
  <cols>
    <col min="1" max="5" width="19.6640625" customWidth="1"/>
  </cols>
  <sheetData>
    <row r="1" spans="1:5" ht="18">
      <c r="A1" s="1" t="s">
        <v>0</v>
      </c>
      <c r="B1" s="1"/>
      <c r="C1" s="2"/>
    </row>
    <row r="2" spans="1:5" ht="15">
      <c r="A2" s="3"/>
      <c r="B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119</v>
      </c>
    </row>
    <row r="4" spans="1:5">
      <c r="A4" s="5">
        <v>1</v>
      </c>
      <c r="B4" s="6" t="s">
        <v>4</v>
      </c>
      <c r="C4" s="7" t="s">
        <v>5</v>
      </c>
      <c r="D4" s="42">
        <v>169000</v>
      </c>
    </row>
    <row r="5" spans="1:5">
      <c r="A5" s="5">
        <v>2</v>
      </c>
      <c r="B5" s="6" t="s">
        <v>6</v>
      </c>
      <c r="C5" s="7" t="s">
        <v>5</v>
      </c>
      <c r="D5" s="42">
        <v>199000</v>
      </c>
    </row>
    <row r="6" spans="1:5">
      <c r="A6" s="5">
        <v>3</v>
      </c>
      <c r="B6" s="6" t="s">
        <v>7</v>
      </c>
      <c r="C6" s="7" t="s">
        <v>5</v>
      </c>
      <c r="D6" s="42">
        <v>229000</v>
      </c>
    </row>
    <row r="7" spans="1:5">
      <c r="A7" s="5">
        <v>4</v>
      </c>
      <c r="B7" s="6" t="s">
        <v>8</v>
      </c>
      <c r="C7" s="7" t="s">
        <v>5</v>
      </c>
      <c r="D7" s="42">
        <v>339000</v>
      </c>
    </row>
    <row r="8" spans="1:5">
      <c r="A8" s="5">
        <v>5</v>
      </c>
      <c r="B8" s="6" t="s">
        <v>9</v>
      </c>
      <c r="C8" s="7" t="s">
        <v>5</v>
      </c>
      <c r="D8" s="42">
        <v>429000</v>
      </c>
    </row>
    <row r="11" spans="1:5" ht="18">
      <c r="A11" s="1" t="s">
        <v>10</v>
      </c>
      <c r="B11" s="1"/>
      <c r="C11" s="2"/>
      <c r="D11" s="2"/>
      <c r="E11" s="11"/>
    </row>
    <row r="12" spans="1:5" ht="15">
      <c r="C12" s="8" t="s">
        <v>11</v>
      </c>
    </row>
    <row r="13" spans="1:5" ht="28.8">
      <c r="A13" s="4" t="s">
        <v>1</v>
      </c>
      <c r="B13" s="4" t="s">
        <v>2</v>
      </c>
      <c r="C13" s="4" t="s">
        <v>12</v>
      </c>
    </row>
    <row r="14" spans="1:5">
      <c r="A14" s="5">
        <v>1</v>
      </c>
      <c r="B14" s="6" t="s">
        <v>4</v>
      </c>
      <c r="C14" s="43">
        <f>D4*5</f>
        <v>845000</v>
      </c>
    </row>
    <row r="15" spans="1:5">
      <c r="A15" s="5">
        <v>2</v>
      </c>
      <c r="B15" s="6" t="s">
        <v>6</v>
      </c>
      <c r="C15" s="43">
        <f>D5*5</f>
        <v>995000</v>
      </c>
    </row>
    <row r="16" spans="1:5">
      <c r="A16" s="5">
        <v>3</v>
      </c>
      <c r="B16" s="6" t="s">
        <v>7</v>
      </c>
      <c r="C16" s="43">
        <f>D6*5</f>
        <v>1145000</v>
      </c>
    </row>
    <row r="17" spans="1:5">
      <c r="A17" s="5">
        <v>4</v>
      </c>
      <c r="B17" s="6" t="s">
        <v>8</v>
      </c>
      <c r="C17" s="43">
        <f>D7*5</f>
        <v>1695000</v>
      </c>
    </row>
    <row r="18" spans="1:5">
      <c r="A18" s="5">
        <v>5</v>
      </c>
      <c r="B18" s="6" t="s">
        <v>9</v>
      </c>
      <c r="C18" s="43">
        <f>D8*5</f>
        <v>2145000</v>
      </c>
    </row>
    <row r="20" spans="1:5">
      <c r="A20" s="9"/>
      <c r="C20" s="10"/>
      <c r="D20" s="44"/>
      <c r="E20" s="44"/>
    </row>
    <row r="21" spans="1:5" ht="18">
      <c r="A21" s="1" t="s">
        <v>13</v>
      </c>
      <c r="B21" s="11"/>
      <c r="C21" s="11"/>
      <c r="D21" s="11"/>
      <c r="E21" s="11"/>
    </row>
    <row r="22" spans="1:5" ht="15">
      <c r="C22" s="12" t="s">
        <v>14</v>
      </c>
    </row>
    <row r="23" spans="1:5" ht="28.8">
      <c r="A23" s="4" t="s">
        <v>1</v>
      </c>
      <c r="B23" s="4" t="s">
        <v>2</v>
      </c>
      <c r="C23" s="4" t="s">
        <v>12</v>
      </c>
    </row>
    <row r="24" spans="1:5">
      <c r="A24" s="5">
        <v>1</v>
      </c>
      <c r="B24" s="6" t="s">
        <v>4</v>
      </c>
      <c r="C24" s="43">
        <f>D4*9</f>
        <v>1521000</v>
      </c>
    </row>
    <row r="25" spans="1:5">
      <c r="A25" s="5">
        <v>2</v>
      </c>
      <c r="B25" s="6" t="s">
        <v>6</v>
      </c>
      <c r="C25" s="43">
        <f>D5*9</f>
        <v>1791000</v>
      </c>
    </row>
    <row r="26" spans="1:5">
      <c r="A26" s="5">
        <v>3</v>
      </c>
      <c r="B26" s="6" t="s">
        <v>7</v>
      </c>
      <c r="C26" s="43">
        <f>D6*9</f>
        <v>2061000</v>
      </c>
    </row>
    <row r="27" spans="1:5">
      <c r="A27" s="5">
        <v>4</v>
      </c>
      <c r="B27" s="6" t="s">
        <v>8</v>
      </c>
      <c r="C27" s="43">
        <f>D7*9</f>
        <v>3051000</v>
      </c>
    </row>
    <row r="28" spans="1:5">
      <c r="A28" s="5">
        <v>5</v>
      </c>
      <c r="B28" s="6" t="s">
        <v>9</v>
      </c>
      <c r="C28" s="43">
        <f>D8*9</f>
        <v>3861000</v>
      </c>
    </row>
    <row r="31" spans="1:5" ht="18">
      <c r="A31" s="1" t="s">
        <v>0</v>
      </c>
      <c r="B31" s="1"/>
      <c r="C31" s="2"/>
    </row>
    <row r="32" spans="1:5" ht="15">
      <c r="A32" s="3"/>
      <c r="B32" s="3"/>
      <c r="E32" s="3"/>
    </row>
    <row r="33" spans="1:5">
      <c r="A33" s="4" t="s">
        <v>1</v>
      </c>
      <c r="B33" s="4" t="s">
        <v>2</v>
      </c>
      <c r="C33" s="4" t="s">
        <v>3</v>
      </c>
      <c r="D33" s="4" t="s">
        <v>119</v>
      </c>
    </row>
    <row r="34" spans="1:5">
      <c r="A34" s="5">
        <v>1</v>
      </c>
      <c r="B34" s="13" t="s">
        <v>15</v>
      </c>
      <c r="C34" s="7" t="s">
        <v>5</v>
      </c>
      <c r="D34" s="42">
        <v>189000</v>
      </c>
    </row>
    <row r="35" spans="1:5">
      <c r="A35" s="5">
        <v>2</v>
      </c>
      <c r="B35" s="13" t="s">
        <v>16</v>
      </c>
      <c r="C35" s="7" t="s">
        <v>5</v>
      </c>
      <c r="D35" s="42">
        <v>219000</v>
      </c>
    </row>
    <row r="36" spans="1:5">
      <c r="A36" s="5">
        <v>3</v>
      </c>
      <c r="B36" s="13" t="s">
        <v>17</v>
      </c>
      <c r="C36" s="7" t="s">
        <v>5</v>
      </c>
      <c r="D36" s="42">
        <v>249000</v>
      </c>
    </row>
    <row r="37" spans="1:5">
      <c r="A37" s="5">
        <v>4</v>
      </c>
      <c r="B37" s="13" t="s">
        <v>18</v>
      </c>
      <c r="C37" s="7" t="s">
        <v>5</v>
      </c>
      <c r="D37" s="42">
        <v>359000</v>
      </c>
    </row>
    <row r="38" spans="1:5">
      <c r="A38" s="5">
        <v>5</v>
      </c>
      <c r="B38" s="13" t="s">
        <v>19</v>
      </c>
      <c r="C38" s="7" t="s">
        <v>5</v>
      </c>
      <c r="D38" s="42">
        <v>449000</v>
      </c>
    </row>
    <row r="39" spans="1:5">
      <c r="A39" s="5">
        <v>6</v>
      </c>
      <c r="B39" s="13" t="s">
        <v>20</v>
      </c>
      <c r="C39" s="7" t="s">
        <v>5</v>
      </c>
      <c r="D39" s="42">
        <v>799000</v>
      </c>
    </row>
    <row r="40" spans="1:5" ht="15">
      <c r="A40" s="5">
        <v>7</v>
      </c>
      <c r="B40" s="13" t="s">
        <v>21</v>
      </c>
      <c r="C40" s="14">
        <v>1500000</v>
      </c>
      <c r="D40" s="42">
        <v>1399000</v>
      </c>
    </row>
    <row r="43" spans="1:5" ht="18">
      <c r="A43" s="1" t="s">
        <v>10</v>
      </c>
      <c r="B43" s="1"/>
      <c r="C43" s="2"/>
      <c r="D43" s="2"/>
      <c r="E43" s="11"/>
    </row>
    <row r="44" spans="1:5" ht="15">
      <c r="C44" s="8" t="s">
        <v>11</v>
      </c>
    </row>
    <row r="45" spans="1:5">
      <c r="A45" s="4" t="s">
        <v>1</v>
      </c>
      <c r="B45" s="4" t="s">
        <v>2</v>
      </c>
      <c r="C45" s="4" t="s">
        <v>12</v>
      </c>
    </row>
    <row r="46" spans="1:5">
      <c r="A46" s="5">
        <v>1</v>
      </c>
      <c r="B46" s="13" t="s">
        <v>15</v>
      </c>
      <c r="C46" s="43">
        <f>D34*5</f>
        <v>945000</v>
      </c>
    </row>
    <row r="47" spans="1:5">
      <c r="A47" s="5">
        <v>2</v>
      </c>
      <c r="B47" s="13" t="s">
        <v>16</v>
      </c>
      <c r="C47" s="43">
        <f>D35*5</f>
        <v>1095000</v>
      </c>
    </row>
    <row r="48" spans="1:5">
      <c r="A48" s="5">
        <v>3</v>
      </c>
      <c r="B48" s="13" t="s">
        <v>17</v>
      </c>
      <c r="C48" s="43">
        <f>D36*5</f>
        <v>1245000</v>
      </c>
    </row>
    <row r="49" spans="1:5">
      <c r="A49" s="5">
        <v>4</v>
      </c>
      <c r="B49" s="13" t="s">
        <v>18</v>
      </c>
      <c r="C49" s="43">
        <f>D37*5</f>
        <v>1795000</v>
      </c>
    </row>
    <row r="50" spans="1:5">
      <c r="A50" s="5">
        <v>5</v>
      </c>
      <c r="B50" s="13" t="s">
        <v>19</v>
      </c>
      <c r="C50" s="43">
        <f>D38*5</f>
        <v>2245000</v>
      </c>
    </row>
    <row r="51" spans="1:5">
      <c r="A51" s="5">
        <v>6</v>
      </c>
      <c r="B51" s="13" t="s">
        <v>20</v>
      </c>
      <c r="C51" s="43">
        <f>D39*5</f>
        <v>3995000</v>
      </c>
    </row>
    <row r="52" spans="1:5">
      <c r="A52" s="5">
        <v>7</v>
      </c>
      <c r="B52" s="13" t="s">
        <v>21</v>
      </c>
      <c r="C52" s="43">
        <f>D40*5</f>
        <v>6995000</v>
      </c>
    </row>
    <row r="54" spans="1:5">
      <c r="A54" s="9"/>
      <c r="C54" s="10"/>
      <c r="D54" s="44"/>
      <c r="E54" s="44"/>
    </row>
    <row r="55" spans="1:5" ht="18">
      <c r="A55" s="1" t="s">
        <v>13</v>
      </c>
      <c r="B55" s="11"/>
      <c r="C55" s="11"/>
      <c r="D55" s="11"/>
      <c r="E55" s="11"/>
    </row>
    <row r="56" spans="1:5" ht="15">
      <c r="C56" s="12" t="s">
        <v>14</v>
      </c>
    </row>
    <row r="57" spans="1:5">
      <c r="A57" s="4" t="s">
        <v>1</v>
      </c>
      <c r="B57" s="4" t="s">
        <v>2</v>
      </c>
      <c r="C57" s="4" t="s">
        <v>12</v>
      </c>
    </row>
    <row r="58" spans="1:5">
      <c r="A58" s="5">
        <v>1</v>
      </c>
      <c r="B58" s="13" t="s">
        <v>15</v>
      </c>
      <c r="C58" s="43">
        <f>D34*9</f>
        <v>1701000</v>
      </c>
    </row>
    <row r="59" spans="1:5">
      <c r="A59" s="5">
        <v>2</v>
      </c>
      <c r="B59" s="13" t="s">
        <v>16</v>
      </c>
      <c r="C59" s="43">
        <f>D35*9</f>
        <v>1971000</v>
      </c>
    </row>
    <row r="60" spans="1:5">
      <c r="A60" s="5">
        <v>3</v>
      </c>
      <c r="B60" s="13" t="s">
        <v>17</v>
      </c>
      <c r="C60" s="43">
        <f>D36*9</f>
        <v>2241000</v>
      </c>
    </row>
    <row r="61" spans="1:5">
      <c r="A61" s="5">
        <v>4</v>
      </c>
      <c r="B61" s="13" t="s">
        <v>18</v>
      </c>
      <c r="C61" s="43">
        <f>D37*9</f>
        <v>3231000</v>
      </c>
    </row>
    <row r="62" spans="1:5">
      <c r="A62" s="5">
        <v>5</v>
      </c>
      <c r="B62" s="13" t="s">
        <v>19</v>
      </c>
      <c r="C62" s="43">
        <f>D38*9</f>
        <v>4041000</v>
      </c>
    </row>
    <row r="63" spans="1:5">
      <c r="A63" s="5">
        <v>6</v>
      </c>
      <c r="B63" s="13" t="s">
        <v>20</v>
      </c>
      <c r="C63" s="43">
        <f>D39*9</f>
        <v>7191000</v>
      </c>
    </row>
    <row r="64" spans="1:5">
      <c r="A64" s="5">
        <v>7</v>
      </c>
      <c r="B64" s="13" t="s">
        <v>21</v>
      </c>
      <c r="C64" s="43">
        <f>D40*9</f>
        <v>12591000</v>
      </c>
    </row>
    <row r="67" spans="1:5" ht="18">
      <c r="A67" s="1" t="s">
        <v>82</v>
      </c>
      <c r="B67" s="1"/>
      <c r="C67" s="2"/>
    </row>
    <row r="68" spans="1:5" ht="15">
      <c r="A68" s="3"/>
      <c r="B68" s="3"/>
      <c r="E68" s="3"/>
    </row>
    <row r="69" spans="1:5">
      <c r="A69" s="4" t="s">
        <v>1</v>
      </c>
      <c r="B69" s="4" t="s">
        <v>2</v>
      </c>
      <c r="C69" s="4" t="s">
        <v>3</v>
      </c>
      <c r="D69" s="4" t="s">
        <v>119</v>
      </c>
    </row>
    <row r="70" spans="1:5">
      <c r="A70" s="5">
        <v>1</v>
      </c>
      <c r="B70" s="6" t="s">
        <v>83</v>
      </c>
      <c r="C70" s="7" t="s">
        <v>5</v>
      </c>
      <c r="D70" s="42">
        <v>599000</v>
      </c>
    </row>
    <row r="71" spans="1:5">
      <c r="A71" s="5">
        <v>2</v>
      </c>
      <c r="B71" s="6" t="s">
        <v>84</v>
      </c>
      <c r="C71" s="7" t="s">
        <v>5</v>
      </c>
      <c r="D71" s="42">
        <v>999000</v>
      </c>
    </row>
    <row r="74" spans="1:5" ht="18">
      <c r="A74" s="1" t="s">
        <v>85</v>
      </c>
      <c r="B74" s="1"/>
      <c r="C74" s="2"/>
      <c r="D74" s="2"/>
      <c r="E74" s="11"/>
    </row>
    <row r="75" spans="1:5" ht="15">
      <c r="C75" s="8" t="s">
        <v>86</v>
      </c>
    </row>
    <row r="76" spans="1:5">
      <c r="A76" s="4" t="s">
        <v>1</v>
      </c>
      <c r="B76" s="4" t="s">
        <v>2</v>
      </c>
      <c r="C76" s="4" t="s">
        <v>12</v>
      </c>
    </row>
    <row r="77" spans="1:5">
      <c r="A77" s="5">
        <v>1</v>
      </c>
      <c r="B77" s="6" t="s">
        <v>83</v>
      </c>
      <c r="C77" s="43">
        <f>D70*6</f>
        <v>3594000</v>
      </c>
    </row>
    <row r="78" spans="1:5">
      <c r="A78" s="5">
        <v>2</v>
      </c>
      <c r="B78" s="6" t="s">
        <v>84</v>
      </c>
      <c r="C78" s="43">
        <f>D71*6</f>
        <v>5994000</v>
      </c>
    </row>
    <row r="80" spans="1:5">
      <c r="A80" s="9"/>
      <c r="C80" s="10"/>
      <c r="D80" s="44"/>
      <c r="E80" s="44"/>
    </row>
    <row r="81" spans="1:5" ht="18">
      <c r="A81" s="1" t="s">
        <v>87</v>
      </c>
      <c r="B81" s="11"/>
      <c r="C81" s="11"/>
      <c r="D81" s="11"/>
      <c r="E81" s="11"/>
    </row>
    <row r="82" spans="1:5" ht="15">
      <c r="C82" s="12" t="s">
        <v>88</v>
      </c>
    </row>
    <row r="83" spans="1:5">
      <c r="A83" s="4" t="s">
        <v>1</v>
      </c>
      <c r="B83" s="4" t="s">
        <v>2</v>
      </c>
      <c r="C83" s="4" t="s">
        <v>12</v>
      </c>
    </row>
    <row r="84" spans="1:5">
      <c r="A84" s="5">
        <v>1</v>
      </c>
      <c r="B84" s="6" t="s">
        <v>83</v>
      </c>
      <c r="C84" s="43">
        <f>D70*12</f>
        <v>7188000</v>
      </c>
    </row>
    <row r="85" spans="1:5">
      <c r="A85" s="5">
        <v>2</v>
      </c>
      <c r="B85" s="6" t="s">
        <v>84</v>
      </c>
      <c r="C85" s="43">
        <f>D71*12</f>
        <v>11988000</v>
      </c>
    </row>
    <row r="88" spans="1:5" ht="18">
      <c r="A88" s="1" t="s">
        <v>89</v>
      </c>
      <c r="B88" s="1"/>
      <c r="C88" s="2"/>
    </row>
    <row r="89" spans="1:5" ht="15">
      <c r="A89" s="3"/>
      <c r="B89" s="3"/>
      <c r="E89" s="3"/>
    </row>
    <row r="90" spans="1:5">
      <c r="A90" s="4" t="s">
        <v>1</v>
      </c>
      <c r="B90" s="4" t="s">
        <v>2</v>
      </c>
      <c r="C90" s="4" t="s">
        <v>3</v>
      </c>
      <c r="D90" s="4" t="s">
        <v>119</v>
      </c>
    </row>
    <row r="91" spans="1:5">
      <c r="A91" s="5">
        <v>1</v>
      </c>
      <c r="B91" s="13" t="s">
        <v>90</v>
      </c>
      <c r="C91" s="7">
        <v>250000</v>
      </c>
      <c r="D91" s="42">
        <v>299000</v>
      </c>
    </row>
    <row r="92" spans="1:5">
      <c r="A92" s="5">
        <v>2</v>
      </c>
      <c r="B92" s="13" t="s">
        <v>91</v>
      </c>
      <c r="C92" s="7">
        <v>250000</v>
      </c>
      <c r="D92" s="42">
        <v>399000</v>
      </c>
    </row>
    <row r="93" spans="1:5">
      <c r="A93" s="5">
        <v>3</v>
      </c>
      <c r="B93" s="13" t="s">
        <v>92</v>
      </c>
      <c r="C93" s="7">
        <v>250000</v>
      </c>
      <c r="D93" s="42">
        <v>699000</v>
      </c>
    </row>
    <row r="94" spans="1:5">
      <c r="A94" s="5">
        <v>4</v>
      </c>
      <c r="B94" s="13" t="s">
        <v>93</v>
      </c>
      <c r="C94" s="7">
        <v>250000</v>
      </c>
      <c r="D94" s="42">
        <v>999000</v>
      </c>
    </row>
    <row r="95" spans="1:5">
      <c r="A95" s="5">
        <v>5</v>
      </c>
      <c r="B95" s="13" t="s">
        <v>94</v>
      </c>
      <c r="C95" s="7" t="s">
        <v>5</v>
      </c>
      <c r="D95" s="42">
        <v>3999000</v>
      </c>
    </row>
    <row r="97" spans="1:5" ht="18">
      <c r="A97" s="1" t="s">
        <v>95</v>
      </c>
      <c r="B97" s="1"/>
      <c r="C97" s="2"/>
      <c r="D97" s="2"/>
      <c r="E97" s="11"/>
    </row>
    <row r="98" spans="1:5" ht="15">
      <c r="C98" s="8" t="s">
        <v>86</v>
      </c>
    </row>
    <row r="99" spans="1:5">
      <c r="A99" s="4" t="s">
        <v>1</v>
      </c>
      <c r="B99" s="4" t="s">
        <v>2</v>
      </c>
      <c r="C99" s="4" t="s">
        <v>12</v>
      </c>
    </row>
    <row r="100" spans="1:5">
      <c r="A100" s="5">
        <v>1</v>
      </c>
      <c r="B100" s="13" t="s">
        <v>90</v>
      </c>
      <c r="C100" s="43">
        <f>D91*6</f>
        <v>1794000</v>
      </c>
    </row>
    <row r="101" spans="1:5">
      <c r="A101" s="5">
        <v>2</v>
      </c>
      <c r="B101" s="13" t="s">
        <v>91</v>
      </c>
      <c r="C101" s="43">
        <f>D92*6</f>
        <v>2394000</v>
      </c>
    </row>
    <row r="102" spans="1:5">
      <c r="A102" s="5">
        <v>3</v>
      </c>
      <c r="B102" s="13" t="s">
        <v>92</v>
      </c>
      <c r="C102" s="43">
        <f>D93*6</f>
        <v>4194000</v>
      </c>
    </row>
    <row r="103" spans="1:5">
      <c r="A103" s="5">
        <v>4</v>
      </c>
      <c r="B103" s="13" t="s">
        <v>93</v>
      </c>
      <c r="C103" s="43">
        <f>D94*6</f>
        <v>5994000</v>
      </c>
    </row>
    <row r="104" spans="1:5">
      <c r="A104" s="5">
        <v>5</v>
      </c>
      <c r="B104" s="13" t="s">
        <v>96</v>
      </c>
      <c r="C104" s="43">
        <f>D95*6</f>
        <v>23994000</v>
      </c>
    </row>
    <row r="106" spans="1:5">
      <c r="A106" s="9"/>
      <c r="C106" s="10"/>
      <c r="D106" s="44"/>
      <c r="E106" s="44"/>
    </row>
    <row r="107" spans="1:5" ht="18">
      <c r="A107" s="1" t="s">
        <v>97</v>
      </c>
      <c r="B107" s="1"/>
      <c r="C107" s="2"/>
      <c r="D107" s="2"/>
      <c r="E107" s="11"/>
    </row>
    <row r="108" spans="1:5" ht="15">
      <c r="C108" s="12" t="s">
        <v>98</v>
      </c>
    </row>
    <row r="109" spans="1:5">
      <c r="A109" s="4" t="s">
        <v>1</v>
      </c>
      <c r="B109" s="4" t="s">
        <v>2</v>
      </c>
      <c r="C109" s="4" t="s">
        <v>12</v>
      </c>
    </row>
    <row r="110" spans="1:5">
      <c r="A110" s="5">
        <v>1</v>
      </c>
      <c r="B110" s="13" t="s">
        <v>90</v>
      </c>
      <c r="C110" s="43">
        <f>D91*12</f>
        <v>3588000</v>
      </c>
    </row>
    <row r="111" spans="1:5">
      <c r="A111" s="5">
        <v>2</v>
      </c>
      <c r="B111" s="13" t="s">
        <v>91</v>
      </c>
      <c r="C111" s="43">
        <f>D92*12</f>
        <v>4788000</v>
      </c>
    </row>
    <row r="112" spans="1:5">
      <c r="A112" s="5">
        <v>3</v>
      </c>
      <c r="B112" s="13" t="s">
        <v>92</v>
      </c>
      <c r="C112" s="43">
        <f>D93*12</f>
        <v>8388000</v>
      </c>
    </row>
    <row r="113" spans="1:5">
      <c r="A113" s="5">
        <v>4</v>
      </c>
      <c r="B113" s="13" t="s">
        <v>93</v>
      </c>
      <c r="C113" s="43">
        <f>D94*12</f>
        <v>11988000</v>
      </c>
    </row>
    <row r="114" spans="1:5">
      <c r="A114" s="5">
        <v>5</v>
      </c>
      <c r="B114" s="13" t="s">
        <v>96</v>
      </c>
      <c r="C114" s="43">
        <f>D95*12</f>
        <v>47988000</v>
      </c>
    </row>
    <row r="115" spans="1:5">
      <c r="A115" s="9"/>
      <c r="C115" s="10"/>
    </row>
    <row r="116" spans="1:5">
      <c r="A116" s="9"/>
      <c r="C116" s="10"/>
      <c r="D116" s="44"/>
      <c r="E116" s="44"/>
    </row>
    <row r="117" spans="1:5" ht="18">
      <c r="A117" s="1" t="s">
        <v>99</v>
      </c>
      <c r="B117" s="1"/>
      <c r="C117" s="2"/>
    </row>
    <row r="118" spans="1:5" ht="15">
      <c r="A118" s="3"/>
      <c r="B118" s="3"/>
      <c r="E118" s="3"/>
    </row>
    <row r="119" spans="1:5">
      <c r="A119" s="4" t="s">
        <v>1</v>
      </c>
      <c r="B119" s="4" t="s">
        <v>2</v>
      </c>
      <c r="C119" s="4" t="s">
        <v>3</v>
      </c>
      <c r="D119" s="4" t="s">
        <v>119</v>
      </c>
    </row>
    <row r="120" spans="1:5">
      <c r="A120" s="5">
        <v>1</v>
      </c>
      <c r="B120" s="13" t="s">
        <v>100</v>
      </c>
      <c r="C120" s="43">
        <f>D120*12</f>
        <v>6000000</v>
      </c>
      <c r="D120" s="42">
        <v>500000</v>
      </c>
    </row>
    <row r="121" spans="1:5">
      <c r="A121" s="5">
        <v>2</v>
      </c>
      <c r="B121" s="13" t="s">
        <v>101</v>
      </c>
      <c r="C121" s="43">
        <f>D121*12</f>
        <v>9600000</v>
      </c>
      <c r="D121" s="42">
        <v>800000</v>
      </c>
    </row>
    <row r="122" spans="1:5">
      <c r="A122" s="5">
        <v>3</v>
      </c>
      <c r="B122" s="13" t="s">
        <v>102</v>
      </c>
      <c r="C122" s="43">
        <f>D122*12</f>
        <v>14400000</v>
      </c>
      <c r="D122" s="42">
        <v>1200000</v>
      </c>
    </row>
    <row r="123" spans="1:5">
      <c r="A123" s="9"/>
      <c r="B123" s="45"/>
      <c r="C123" s="46"/>
      <c r="E123" s="47"/>
    </row>
    <row r="125" spans="1:5" ht="18">
      <c r="A125" s="1" t="s">
        <v>103</v>
      </c>
      <c r="B125" s="1"/>
      <c r="C125" s="2"/>
      <c r="D125" s="2"/>
      <c r="E125" s="11"/>
    </row>
    <row r="126" spans="1:5" ht="15">
      <c r="C126" s="8" t="s">
        <v>86</v>
      </c>
    </row>
    <row r="127" spans="1:5">
      <c r="A127" s="4" t="s">
        <v>1</v>
      </c>
      <c r="B127" s="4" t="s">
        <v>2</v>
      </c>
      <c r="C127" s="4" t="s">
        <v>12</v>
      </c>
    </row>
    <row r="128" spans="1:5">
      <c r="A128" s="5">
        <v>1</v>
      </c>
      <c r="B128" s="13" t="s">
        <v>100</v>
      </c>
      <c r="C128" s="43">
        <f>D120*6</f>
        <v>3000000</v>
      </c>
    </row>
    <row r="129" spans="1:5">
      <c r="A129" s="5">
        <v>2</v>
      </c>
      <c r="B129" s="13" t="s">
        <v>101</v>
      </c>
      <c r="C129" s="43">
        <f>D121*6</f>
        <v>4800000</v>
      </c>
    </row>
    <row r="130" spans="1:5">
      <c r="A130" s="5">
        <v>3</v>
      </c>
      <c r="B130" s="13" t="s">
        <v>102</v>
      </c>
      <c r="C130" s="43">
        <f>D122*6</f>
        <v>7200000</v>
      </c>
    </row>
    <row r="131" spans="1:5">
      <c r="A131" s="9"/>
      <c r="C131" s="10"/>
      <c r="D131" s="44"/>
      <c r="E131" s="44"/>
    </row>
    <row r="132" spans="1:5" ht="18">
      <c r="A132" s="1" t="s">
        <v>104</v>
      </c>
      <c r="B132" s="1"/>
      <c r="C132" s="2"/>
      <c r="D132" s="2"/>
      <c r="E132" s="11"/>
    </row>
    <row r="133" spans="1:5" ht="15">
      <c r="C133" s="12" t="s">
        <v>98</v>
      </c>
    </row>
    <row r="134" spans="1:5">
      <c r="A134" s="4" t="s">
        <v>1</v>
      </c>
      <c r="B134" s="4" t="s">
        <v>2</v>
      </c>
      <c r="C134" s="4" t="s">
        <v>12</v>
      </c>
    </row>
    <row r="135" spans="1:5">
      <c r="A135" s="5">
        <v>1</v>
      </c>
      <c r="B135" s="13" t="s">
        <v>100</v>
      </c>
      <c r="C135" s="43">
        <f>D120*12</f>
        <v>6000000</v>
      </c>
    </row>
    <row r="136" spans="1:5">
      <c r="A136" s="5">
        <v>2</v>
      </c>
      <c r="B136" s="13" t="s">
        <v>101</v>
      </c>
      <c r="C136" s="43">
        <f>D121*12</f>
        <v>9600000</v>
      </c>
    </row>
    <row r="137" spans="1:5">
      <c r="A137" s="5">
        <v>3</v>
      </c>
      <c r="B137" s="13" t="s">
        <v>102</v>
      </c>
      <c r="C137" s="43">
        <f>D122*12</f>
        <v>14400000</v>
      </c>
    </row>
    <row r="140" spans="1:5" ht="18">
      <c r="A140" s="1" t="s">
        <v>105</v>
      </c>
      <c r="B140" s="1"/>
      <c r="C140" s="2"/>
    </row>
    <row r="141" spans="1:5" ht="15">
      <c r="A141" s="3"/>
      <c r="B141" s="3"/>
      <c r="E141" s="3"/>
    </row>
    <row r="142" spans="1:5">
      <c r="A142" s="4" t="s">
        <v>1</v>
      </c>
      <c r="B142" s="4" t="s">
        <v>2</v>
      </c>
      <c r="C142" s="4" t="s">
        <v>3</v>
      </c>
      <c r="D142" s="4" t="s">
        <v>119</v>
      </c>
    </row>
    <row r="143" spans="1:5">
      <c r="A143" s="5">
        <v>1</v>
      </c>
      <c r="B143" s="13" t="s">
        <v>90</v>
      </c>
      <c r="C143" s="7">
        <v>200000</v>
      </c>
      <c r="D143" s="42">
        <v>299000</v>
      </c>
    </row>
    <row r="144" spans="1:5">
      <c r="A144" s="5">
        <v>2</v>
      </c>
      <c r="B144" s="13" t="s">
        <v>91</v>
      </c>
      <c r="C144" s="7">
        <v>200000</v>
      </c>
      <c r="D144" s="42">
        <v>399000</v>
      </c>
    </row>
    <row r="145" spans="1:5">
      <c r="A145" s="5">
        <v>3</v>
      </c>
      <c r="B145" s="13" t="s">
        <v>92</v>
      </c>
      <c r="C145" s="7">
        <v>200000</v>
      </c>
      <c r="D145" s="42">
        <v>699000</v>
      </c>
    </row>
    <row r="146" spans="1:5">
      <c r="A146" s="5">
        <v>4</v>
      </c>
      <c r="B146" s="13" t="s">
        <v>93</v>
      </c>
      <c r="C146" s="7">
        <v>200000</v>
      </c>
      <c r="D146" s="42">
        <v>999000</v>
      </c>
    </row>
    <row r="147" spans="1:5">
      <c r="A147" s="5">
        <v>5</v>
      </c>
      <c r="B147" s="13" t="s">
        <v>94</v>
      </c>
      <c r="C147" s="7" t="s">
        <v>5</v>
      </c>
      <c r="D147" s="42">
        <v>3999000</v>
      </c>
    </row>
    <row r="149" spans="1:5" ht="18">
      <c r="A149" s="1" t="s">
        <v>106</v>
      </c>
      <c r="B149" s="1"/>
      <c r="C149" s="2"/>
      <c r="D149" s="2"/>
      <c r="E149" s="11"/>
    </row>
    <row r="150" spans="1:5" ht="15">
      <c r="C150" s="8" t="s">
        <v>86</v>
      </c>
    </row>
    <row r="151" spans="1:5">
      <c r="A151" s="4" t="s">
        <v>1</v>
      </c>
      <c r="B151" s="4" t="s">
        <v>2</v>
      </c>
      <c r="C151" s="4" t="s">
        <v>12</v>
      </c>
    </row>
    <row r="152" spans="1:5">
      <c r="A152" s="5">
        <v>1</v>
      </c>
      <c r="B152" s="13" t="s">
        <v>90</v>
      </c>
      <c r="C152" s="43">
        <f>D143*6</f>
        <v>1794000</v>
      </c>
    </row>
    <row r="153" spans="1:5">
      <c r="A153" s="5">
        <v>2</v>
      </c>
      <c r="B153" s="13" t="s">
        <v>91</v>
      </c>
      <c r="C153" s="43">
        <f>D144*6</f>
        <v>2394000</v>
      </c>
    </row>
    <row r="154" spans="1:5">
      <c r="A154" s="5">
        <v>3</v>
      </c>
      <c r="B154" s="13" t="s">
        <v>92</v>
      </c>
      <c r="C154" s="43">
        <f>D145*6</f>
        <v>4194000</v>
      </c>
    </row>
    <row r="155" spans="1:5">
      <c r="A155" s="5">
        <v>4</v>
      </c>
      <c r="B155" s="13" t="s">
        <v>93</v>
      </c>
      <c r="C155" s="43">
        <f>D146*6</f>
        <v>5994000</v>
      </c>
    </row>
    <row r="156" spans="1:5">
      <c r="A156" s="5">
        <v>5</v>
      </c>
      <c r="B156" s="13" t="s">
        <v>96</v>
      </c>
      <c r="C156" s="43">
        <f>D147*6</f>
        <v>23994000</v>
      </c>
    </row>
    <row r="158" spans="1:5">
      <c r="A158" s="9"/>
      <c r="C158" s="10"/>
      <c r="D158" s="44"/>
      <c r="E158" s="44"/>
    </row>
    <row r="159" spans="1:5" ht="18">
      <c r="A159" s="1" t="s">
        <v>107</v>
      </c>
      <c r="B159" s="1"/>
      <c r="C159" s="2"/>
      <c r="D159" s="2"/>
      <c r="E159" s="11"/>
    </row>
    <row r="160" spans="1:5" ht="15">
      <c r="C160" s="12" t="s">
        <v>88</v>
      </c>
    </row>
    <row r="161" spans="1:5">
      <c r="A161" s="4" t="s">
        <v>1</v>
      </c>
      <c r="B161" s="4" t="s">
        <v>2</v>
      </c>
      <c r="C161" s="4" t="s">
        <v>12</v>
      </c>
    </row>
    <row r="162" spans="1:5">
      <c r="A162" s="5">
        <v>1</v>
      </c>
      <c r="B162" s="13" t="s">
        <v>90</v>
      </c>
      <c r="C162" s="43">
        <f>D143*12</f>
        <v>3588000</v>
      </c>
    </row>
    <row r="163" spans="1:5">
      <c r="A163" s="5">
        <v>2</v>
      </c>
      <c r="B163" s="13" t="s">
        <v>91</v>
      </c>
      <c r="C163" s="43">
        <f>D144*12</f>
        <v>4788000</v>
      </c>
    </row>
    <row r="164" spans="1:5">
      <c r="A164" s="5">
        <v>3</v>
      </c>
      <c r="B164" s="13" t="s">
        <v>92</v>
      </c>
      <c r="C164" s="43">
        <f>D145*12</f>
        <v>8388000</v>
      </c>
    </row>
    <row r="165" spans="1:5">
      <c r="A165" s="5">
        <v>4</v>
      </c>
      <c r="B165" s="13" t="s">
        <v>93</v>
      </c>
      <c r="C165" s="43">
        <f>D146*12</f>
        <v>11988000</v>
      </c>
    </row>
    <row r="166" spans="1:5">
      <c r="A166" s="5">
        <v>5</v>
      </c>
      <c r="B166" s="13" t="s">
        <v>96</v>
      </c>
      <c r="C166" s="43">
        <f>D147*12</f>
        <v>47988000</v>
      </c>
    </row>
    <row r="167" spans="1:5">
      <c r="A167" s="9"/>
      <c r="C167" s="10"/>
    </row>
    <row r="168" spans="1:5" ht="18">
      <c r="A168" s="1" t="s">
        <v>108</v>
      </c>
      <c r="B168" s="1"/>
      <c r="C168" s="2"/>
    </row>
    <row r="169" spans="1:5" ht="15">
      <c r="A169" s="3"/>
      <c r="B169" s="3"/>
      <c r="E169" s="3"/>
    </row>
    <row r="170" spans="1:5">
      <c r="A170" s="4" t="s">
        <v>1</v>
      </c>
      <c r="B170" s="4" t="s">
        <v>2</v>
      </c>
      <c r="C170" s="4" t="s">
        <v>3</v>
      </c>
      <c r="D170" s="4" t="s">
        <v>119</v>
      </c>
    </row>
    <row r="171" spans="1:5">
      <c r="A171" s="5">
        <v>1</v>
      </c>
      <c r="B171" s="13" t="s">
        <v>100</v>
      </c>
      <c r="C171" s="43">
        <f>D171*12</f>
        <v>6000000</v>
      </c>
      <c r="D171" s="42">
        <v>500000</v>
      </c>
    </row>
    <row r="172" spans="1:5">
      <c r="A172" s="5">
        <v>2</v>
      </c>
      <c r="B172" s="13" t="s">
        <v>101</v>
      </c>
      <c r="C172" s="43">
        <f>D172*12</f>
        <v>9600000</v>
      </c>
      <c r="D172" s="42">
        <v>800000</v>
      </c>
    </row>
    <row r="173" spans="1:5">
      <c r="A173" s="5">
        <v>3</v>
      </c>
      <c r="B173" s="13" t="s">
        <v>102</v>
      </c>
      <c r="C173" s="43">
        <f>D173*12</f>
        <v>14400000</v>
      </c>
      <c r="D173" s="42">
        <v>1200000</v>
      </c>
    </row>
    <row r="174" spans="1:5">
      <c r="A174" s="9"/>
      <c r="B174" s="45"/>
      <c r="C174" s="46"/>
      <c r="E174" s="47"/>
    </row>
    <row r="176" spans="1:5" ht="18">
      <c r="A176" s="1" t="s">
        <v>109</v>
      </c>
      <c r="B176" s="1"/>
      <c r="C176" s="2"/>
      <c r="D176" s="2"/>
      <c r="E176" s="11"/>
    </row>
    <row r="177" spans="1:5" ht="15">
      <c r="C177" s="8" t="s">
        <v>86</v>
      </c>
    </row>
    <row r="178" spans="1:5">
      <c r="A178" s="4" t="s">
        <v>1</v>
      </c>
      <c r="B178" s="4" t="s">
        <v>2</v>
      </c>
      <c r="C178" s="4" t="s">
        <v>12</v>
      </c>
    </row>
    <row r="179" spans="1:5">
      <c r="A179" s="5">
        <v>1</v>
      </c>
      <c r="B179" s="13" t="s">
        <v>100</v>
      </c>
      <c r="C179" s="43">
        <f>D171*6</f>
        <v>3000000</v>
      </c>
    </row>
    <row r="180" spans="1:5">
      <c r="A180" s="5">
        <v>2</v>
      </c>
      <c r="B180" s="13" t="s">
        <v>101</v>
      </c>
      <c r="C180" s="43">
        <f>D172*6</f>
        <v>4800000</v>
      </c>
    </row>
    <row r="181" spans="1:5">
      <c r="A181" s="5">
        <v>3</v>
      </c>
      <c r="B181" s="13" t="s">
        <v>102</v>
      </c>
      <c r="C181" s="43">
        <f>D173*6</f>
        <v>7200000</v>
      </c>
    </row>
    <row r="182" spans="1:5">
      <c r="A182" s="9"/>
      <c r="C182" s="10"/>
      <c r="D182" s="44"/>
      <c r="E182" s="44"/>
    </row>
    <row r="183" spans="1:5" ht="18">
      <c r="A183" s="1" t="s">
        <v>110</v>
      </c>
      <c r="B183" s="1"/>
      <c r="C183" s="2"/>
      <c r="D183" s="2"/>
      <c r="E183" s="11"/>
    </row>
    <row r="184" spans="1:5" ht="15">
      <c r="C184" s="12" t="s">
        <v>98</v>
      </c>
    </row>
    <row r="185" spans="1:5">
      <c r="A185" s="4" t="s">
        <v>1</v>
      </c>
      <c r="B185" s="4" t="s">
        <v>2</v>
      </c>
      <c r="C185" s="4" t="s">
        <v>12</v>
      </c>
    </row>
    <row r="186" spans="1:5">
      <c r="A186" s="5">
        <v>1</v>
      </c>
      <c r="B186" s="13" t="s">
        <v>100</v>
      </c>
      <c r="C186" s="43">
        <f>D171*12</f>
        <v>6000000</v>
      </c>
    </row>
    <row r="187" spans="1:5">
      <c r="A187" s="5">
        <v>2</v>
      </c>
      <c r="B187" s="13" t="s">
        <v>101</v>
      </c>
      <c r="C187" s="43">
        <f>D172*12</f>
        <v>9600000</v>
      </c>
    </row>
    <row r="188" spans="1:5">
      <c r="A188" s="5">
        <v>3</v>
      </c>
      <c r="B188" s="13" t="s">
        <v>102</v>
      </c>
      <c r="C188" s="43">
        <f>D173*12</f>
        <v>14400000</v>
      </c>
    </row>
    <row r="191" spans="1:5" ht="18">
      <c r="A191" s="1" t="s">
        <v>111</v>
      </c>
      <c r="B191" s="1"/>
      <c r="C191" s="2"/>
    </row>
    <row r="192" spans="1:5" ht="15">
      <c r="A192" s="3"/>
      <c r="B192" s="3"/>
      <c r="E192" s="3"/>
    </row>
    <row r="193" spans="1:5">
      <c r="A193" s="4" t="s">
        <v>1</v>
      </c>
      <c r="B193" s="4" t="s">
        <v>2</v>
      </c>
      <c r="C193" s="4" t="s">
        <v>3</v>
      </c>
      <c r="D193" s="4" t="s">
        <v>119</v>
      </c>
    </row>
    <row r="194" spans="1:5">
      <c r="A194" s="5">
        <v>1</v>
      </c>
      <c r="B194" s="13" t="s">
        <v>90</v>
      </c>
      <c r="C194" s="7">
        <v>200000</v>
      </c>
      <c r="D194" s="42">
        <v>350000</v>
      </c>
    </row>
    <row r="195" spans="1:5">
      <c r="A195" s="5">
        <v>2</v>
      </c>
      <c r="B195" s="13" t="s">
        <v>112</v>
      </c>
      <c r="C195" s="7">
        <v>200000</v>
      </c>
      <c r="D195" s="42">
        <v>500000</v>
      </c>
    </row>
    <row r="196" spans="1:5">
      <c r="A196" s="5">
        <v>3</v>
      </c>
      <c r="B196" s="13" t="s">
        <v>91</v>
      </c>
      <c r="C196" s="7">
        <v>200000</v>
      </c>
      <c r="D196" s="42">
        <v>700000</v>
      </c>
    </row>
    <row r="197" spans="1:5">
      <c r="A197" s="5">
        <v>4</v>
      </c>
      <c r="B197" s="13" t="s">
        <v>8</v>
      </c>
      <c r="C197" s="7">
        <v>200000</v>
      </c>
      <c r="D197" s="42">
        <v>1300000</v>
      </c>
    </row>
    <row r="198" spans="1:5">
      <c r="A198" s="5">
        <v>5</v>
      </c>
      <c r="B198" s="13" t="s">
        <v>9</v>
      </c>
      <c r="C198" s="7" t="s">
        <v>5</v>
      </c>
      <c r="D198" s="42">
        <v>1900000</v>
      </c>
    </row>
    <row r="199" spans="1:5">
      <c r="A199" s="5">
        <v>6</v>
      </c>
      <c r="B199" s="13" t="s">
        <v>113</v>
      </c>
      <c r="C199" s="7" t="s">
        <v>5</v>
      </c>
      <c r="D199" s="42">
        <v>3999000</v>
      </c>
    </row>
    <row r="200" spans="1:5">
      <c r="A200" s="9"/>
      <c r="B200" s="45"/>
      <c r="C200" s="46"/>
      <c r="E200" s="47"/>
    </row>
    <row r="201" spans="1:5">
      <c r="A201" s="9"/>
      <c r="B201" s="45"/>
      <c r="C201" s="46"/>
      <c r="E201" s="47"/>
    </row>
    <row r="203" spans="1:5" ht="18">
      <c r="A203" s="1" t="s">
        <v>114</v>
      </c>
      <c r="B203" s="1"/>
      <c r="C203" s="2"/>
      <c r="D203" s="2"/>
      <c r="E203" s="11"/>
    </row>
    <row r="204" spans="1:5" ht="15">
      <c r="C204" s="8" t="s">
        <v>86</v>
      </c>
    </row>
    <row r="205" spans="1:5">
      <c r="A205" s="4" t="s">
        <v>1</v>
      </c>
      <c r="B205" s="4" t="s">
        <v>2</v>
      </c>
      <c r="C205" s="4" t="s">
        <v>12</v>
      </c>
    </row>
    <row r="206" spans="1:5">
      <c r="A206" s="5">
        <v>1</v>
      </c>
      <c r="B206" s="13" t="s">
        <v>90</v>
      </c>
      <c r="C206" s="43">
        <f>D194*6</f>
        <v>2100000</v>
      </c>
    </row>
    <row r="207" spans="1:5">
      <c r="A207" s="5">
        <v>2</v>
      </c>
      <c r="B207" s="13" t="s">
        <v>112</v>
      </c>
      <c r="C207" s="43">
        <f>D195*6</f>
        <v>3000000</v>
      </c>
    </row>
    <row r="208" spans="1:5">
      <c r="A208" s="5">
        <v>3</v>
      </c>
      <c r="B208" s="13" t="s">
        <v>91</v>
      </c>
      <c r="C208" s="43">
        <f>D196*6</f>
        <v>4200000</v>
      </c>
    </row>
    <row r="209" spans="1:5">
      <c r="A209" s="5">
        <v>4</v>
      </c>
      <c r="B209" s="13" t="s">
        <v>8</v>
      </c>
      <c r="C209" s="43">
        <f>D197*6</f>
        <v>7800000</v>
      </c>
    </row>
    <row r="210" spans="1:5">
      <c r="A210" s="5">
        <v>5</v>
      </c>
      <c r="B210" s="13" t="s">
        <v>9</v>
      </c>
      <c r="C210" s="43">
        <f>D198*6</f>
        <v>11400000</v>
      </c>
    </row>
    <row r="211" spans="1:5">
      <c r="A211" s="5">
        <v>6</v>
      </c>
      <c r="B211" s="13" t="s">
        <v>113</v>
      </c>
      <c r="C211" s="43">
        <f>D199*6</f>
        <v>23994000</v>
      </c>
    </row>
    <row r="212" spans="1:5">
      <c r="A212" s="9"/>
      <c r="B212" s="45"/>
      <c r="C212" s="48"/>
    </row>
    <row r="214" spans="1:5">
      <c r="A214" s="9"/>
      <c r="C214" s="10"/>
      <c r="D214" s="44"/>
      <c r="E214" s="44"/>
    </row>
    <row r="215" spans="1:5" ht="18">
      <c r="A215" s="1" t="s">
        <v>115</v>
      </c>
      <c r="B215" s="1"/>
      <c r="C215" s="2"/>
      <c r="D215" s="2"/>
      <c r="E215" s="11"/>
    </row>
    <row r="216" spans="1:5" ht="15">
      <c r="C216" s="12" t="s">
        <v>98</v>
      </c>
    </row>
    <row r="217" spans="1:5">
      <c r="A217" s="4" t="s">
        <v>1</v>
      </c>
      <c r="B217" s="4" t="s">
        <v>2</v>
      </c>
      <c r="C217" s="4" t="s">
        <v>12</v>
      </c>
    </row>
    <row r="218" spans="1:5">
      <c r="A218" s="5">
        <v>1</v>
      </c>
      <c r="B218" s="13" t="s">
        <v>90</v>
      </c>
      <c r="C218" s="43">
        <f>D194*12</f>
        <v>4200000</v>
      </c>
    </row>
    <row r="219" spans="1:5">
      <c r="A219" s="5">
        <v>2</v>
      </c>
      <c r="B219" s="13" t="s">
        <v>112</v>
      </c>
      <c r="C219" s="43">
        <f>D195*12</f>
        <v>6000000</v>
      </c>
    </row>
    <row r="220" spans="1:5">
      <c r="A220" s="5">
        <v>3</v>
      </c>
      <c r="B220" s="13" t="s">
        <v>91</v>
      </c>
      <c r="C220" s="43">
        <f>D196*12</f>
        <v>8400000</v>
      </c>
    </row>
    <row r="221" spans="1:5">
      <c r="A221" s="5">
        <v>4</v>
      </c>
      <c r="B221" s="13" t="s">
        <v>8</v>
      </c>
      <c r="C221" s="43">
        <f>D197*12</f>
        <v>15600000</v>
      </c>
    </row>
    <row r="222" spans="1:5">
      <c r="A222" s="5">
        <v>5</v>
      </c>
      <c r="B222" s="13" t="s">
        <v>9</v>
      </c>
      <c r="C222" s="43">
        <f>D198*12</f>
        <v>22800000</v>
      </c>
    </row>
    <row r="223" spans="1:5">
      <c r="A223" s="5">
        <v>6</v>
      </c>
      <c r="B223" s="13" t="s">
        <v>113</v>
      </c>
      <c r="C223" s="43">
        <f>D199*12</f>
        <v>47988000</v>
      </c>
    </row>
    <row r="224" spans="1:5">
      <c r="A224" s="9"/>
      <c r="C224" s="10"/>
      <c r="D224" s="44"/>
      <c r="E224" s="44"/>
    </row>
    <row r="226" spans="1:5" ht="18">
      <c r="A226" s="1" t="s">
        <v>116</v>
      </c>
      <c r="B226" s="1"/>
      <c r="C226" s="2"/>
    </row>
    <row r="227" spans="1:5" ht="15">
      <c r="A227" s="3"/>
      <c r="B227" s="3"/>
      <c r="E227" s="3"/>
    </row>
    <row r="228" spans="1:5">
      <c r="A228" s="4" t="s">
        <v>1</v>
      </c>
      <c r="B228" s="4" t="s">
        <v>2</v>
      </c>
      <c r="C228" s="4" t="s">
        <v>3</v>
      </c>
      <c r="D228" s="4" t="s">
        <v>119</v>
      </c>
    </row>
    <row r="229" spans="1:5">
      <c r="A229" s="5">
        <v>1</v>
      </c>
      <c r="B229" s="13" t="s">
        <v>100</v>
      </c>
      <c r="C229" s="43">
        <f>D229*12</f>
        <v>6000000</v>
      </c>
      <c r="D229" s="42">
        <v>500000</v>
      </c>
    </row>
    <row r="230" spans="1:5">
      <c r="A230" s="5">
        <v>2</v>
      </c>
      <c r="B230" s="13" t="s">
        <v>101</v>
      </c>
      <c r="C230" s="43">
        <f>D230*12</f>
        <v>9600000</v>
      </c>
      <c r="D230" s="42">
        <v>800000</v>
      </c>
    </row>
    <row r="231" spans="1:5">
      <c r="A231" s="5">
        <v>3</v>
      </c>
      <c r="B231" s="13" t="s">
        <v>102</v>
      </c>
      <c r="C231" s="43">
        <f>D231*12</f>
        <v>14400000</v>
      </c>
      <c r="D231" s="42">
        <v>1200000</v>
      </c>
    </row>
    <row r="232" spans="1:5">
      <c r="A232" s="9"/>
      <c r="B232" s="45"/>
      <c r="C232" s="46"/>
      <c r="E232" s="47"/>
    </row>
    <row r="234" spans="1:5" ht="18">
      <c r="A234" s="1" t="s">
        <v>117</v>
      </c>
      <c r="B234" s="1"/>
      <c r="C234" s="2"/>
      <c r="D234" s="2"/>
      <c r="E234" s="11"/>
    </row>
    <row r="235" spans="1:5" ht="15">
      <c r="C235" s="8" t="s">
        <v>86</v>
      </c>
    </row>
    <row r="236" spans="1:5">
      <c r="A236" s="4" t="s">
        <v>1</v>
      </c>
      <c r="B236" s="4" t="s">
        <v>2</v>
      </c>
      <c r="C236" s="4" t="s">
        <v>12</v>
      </c>
    </row>
    <row r="237" spans="1:5">
      <c r="A237" s="5">
        <v>1</v>
      </c>
      <c r="B237" s="13" t="s">
        <v>100</v>
      </c>
      <c r="C237" s="43">
        <f>D229*6</f>
        <v>3000000</v>
      </c>
    </row>
    <row r="238" spans="1:5">
      <c r="A238" s="5">
        <v>2</v>
      </c>
      <c r="B238" s="13" t="s">
        <v>101</v>
      </c>
      <c r="C238" s="43">
        <f>D230*6</f>
        <v>4800000</v>
      </c>
    </row>
    <row r="239" spans="1:5">
      <c r="A239" s="5">
        <v>3</v>
      </c>
      <c r="B239" s="13" t="s">
        <v>102</v>
      </c>
      <c r="C239" s="43">
        <f>D231*6</f>
        <v>7200000</v>
      </c>
    </row>
    <row r="240" spans="1:5">
      <c r="A240" s="9"/>
      <c r="C240" s="10"/>
      <c r="D240" s="44"/>
      <c r="E240" s="44"/>
    </row>
    <row r="241" spans="1:5" ht="18">
      <c r="A241" s="1" t="s">
        <v>118</v>
      </c>
      <c r="B241" s="1"/>
      <c r="C241" s="2"/>
      <c r="D241" s="2"/>
      <c r="E241" s="11"/>
    </row>
    <row r="242" spans="1:5" ht="15">
      <c r="C242" s="12" t="s">
        <v>98</v>
      </c>
    </row>
    <row r="243" spans="1:5">
      <c r="A243" s="4" t="s">
        <v>1</v>
      </c>
      <c r="B243" s="4" t="s">
        <v>2</v>
      </c>
      <c r="C243" s="4" t="s">
        <v>12</v>
      </c>
    </row>
    <row r="244" spans="1:5">
      <c r="A244" s="5">
        <v>1</v>
      </c>
      <c r="B244" s="13" t="s">
        <v>100</v>
      </c>
      <c r="C244" s="43">
        <f>D229*12</f>
        <v>6000000</v>
      </c>
    </row>
    <row r="245" spans="1:5">
      <c r="A245" s="5">
        <v>2</v>
      </c>
      <c r="B245" s="13" t="s">
        <v>101</v>
      </c>
      <c r="C245" s="43">
        <f>D230*12</f>
        <v>9600000</v>
      </c>
    </row>
    <row r="246" spans="1:5">
      <c r="A246" s="5">
        <v>3</v>
      </c>
      <c r="B246" s="13" t="s">
        <v>102</v>
      </c>
      <c r="C246" s="43">
        <f>D231*12</f>
        <v>14400000</v>
      </c>
    </row>
    <row r="249" spans="1:5" ht="15">
      <c r="B249" s="3" t="s">
        <v>22</v>
      </c>
    </row>
    <row r="250" spans="1:5" ht="28.8">
      <c r="A250" s="15" t="s">
        <v>1</v>
      </c>
      <c r="B250" s="15" t="s">
        <v>2</v>
      </c>
      <c r="C250" s="15" t="s">
        <v>23</v>
      </c>
      <c r="D250" s="15" t="s">
        <v>24</v>
      </c>
    </row>
    <row r="251" spans="1:5">
      <c r="A251" s="25">
        <v>1</v>
      </c>
      <c r="B251" s="27" t="s">
        <v>25</v>
      </c>
      <c r="C251" s="18" t="s">
        <v>26</v>
      </c>
      <c r="D251" s="29">
        <v>15000</v>
      </c>
    </row>
    <row r="252" spans="1:5">
      <c r="A252" s="36"/>
      <c r="B252" s="37"/>
      <c r="C252" s="18" t="s">
        <v>27</v>
      </c>
      <c r="D252" s="35"/>
    </row>
    <row r="253" spans="1:5">
      <c r="A253" s="26"/>
      <c r="B253" s="28"/>
      <c r="C253" s="20" t="s">
        <v>28</v>
      </c>
      <c r="D253" s="30"/>
    </row>
    <row r="254" spans="1:5">
      <c r="A254" s="25">
        <f>A251+1</f>
        <v>2</v>
      </c>
      <c r="B254" s="32" t="s">
        <v>29</v>
      </c>
      <c r="C254" s="20" t="s">
        <v>30</v>
      </c>
      <c r="D254" s="29">
        <v>45000</v>
      </c>
    </row>
    <row r="255" spans="1:5">
      <c r="A255" s="36"/>
      <c r="B255" s="33"/>
      <c r="C255" s="20" t="s">
        <v>31</v>
      </c>
      <c r="D255" s="35"/>
    </row>
    <row r="256" spans="1:5">
      <c r="A256" s="36"/>
      <c r="B256" s="33"/>
      <c r="C256" s="20" t="s">
        <v>27</v>
      </c>
      <c r="D256" s="35"/>
    </row>
    <row r="257" spans="1:4">
      <c r="A257" s="36"/>
      <c r="B257" s="34"/>
      <c r="C257" s="20" t="s">
        <v>28</v>
      </c>
      <c r="D257" s="30"/>
    </row>
    <row r="258" spans="1:4">
      <c r="A258" s="25">
        <v>3</v>
      </c>
      <c r="B258" s="32" t="s">
        <v>32</v>
      </c>
      <c r="C258" s="20" t="s">
        <v>33</v>
      </c>
      <c r="D258" s="29">
        <v>55000</v>
      </c>
    </row>
    <row r="259" spans="1:4">
      <c r="A259" s="36"/>
      <c r="B259" s="33"/>
      <c r="C259" s="20" t="s">
        <v>31</v>
      </c>
      <c r="D259" s="35"/>
    </row>
    <row r="260" spans="1:4">
      <c r="A260" s="36"/>
      <c r="B260" s="33"/>
      <c r="C260" s="20" t="s">
        <v>27</v>
      </c>
      <c r="D260" s="35"/>
    </row>
    <row r="261" spans="1:4">
      <c r="A261" s="36"/>
      <c r="B261" s="34"/>
      <c r="C261" s="20" t="s">
        <v>28</v>
      </c>
      <c r="D261" s="30"/>
    </row>
    <row r="262" spans="1:4">
      <c r="A262" s="25">
        <v>4</v>
      </c>
      <c r="B262" s="27" t="s">
        <v>34</v>
      </c>
      <c r="C262" s="21" t="s">
        <v>35</v>
      </c>
      <c r="D262" s="40">
        <v>30000</v>
      </c>
    </row>
    <row r="263" spans="1:4">
      <c r="A263" s="36"/>
      <c r="B263" s="37"/>
      <c r="C263" s="20" t="s">
        <v>27</v>
      </c>
      <c r="D263" s="41"/>
    </row>
    <row r="264" spans="1:4">
      <c r="A264" s="26"/>
      <c r="B264" s="28"/>
      <c r="C264" s="20" t="s">
        <v>28</v>
      </c>
      <c r="D264" s="28"/>
    </row>
    <row r="265" spans="1:4">
      <c r="A265" s="25">
        <v>5</v>
      </c>
      <c r="B265" s="27" t="s">
        <v>36</v>
      </c>
      <c r="C265" s="21" t="s">
        <v>37</v>
      </c>
      <c r="D265" s="38">
        <v>26500</v>
      </c>
    </row>
    <row r="266" spans="1:4">
      <c r="A266" s="26"/>
      <c r="B266" s="28"/>
      <c r="C266" s="20" t="s">
        <v>28</v>
      </c>
      <c r="D266" s="39"/>
    </row>
    <row r="267" spans="1:4">
      <c r="A267" s="25">
        <v>6</v>
      </c>
      <c r="B267" s="27" t="s">
        <v>38</v>
      </c>
      <c r="C267" s="18" t="s">
        <v>39</v>
      </c>
      <c r="D267" s="29">
        <v>45000</v>
      </c>
    </row>
    <row r="268" spans="1:4">
      <c r="A268" s="36"/>
      <c r="B268" s="37"/>
      <c r="C268" s="18" t="s">
        <v>40</v>
      </c>
      <c r="D268" s="35"/>
    </row>
    <row r="269" spans="1:4">
      <c r="A269" s="36"/>
      <c r="B269" s="37"/>
      <c r="C269" s="18" t="s">
        <v>26</v>
      </c>
      <c r="D269" s="35"/>
    </row>
    <row r="270" spans="1:4">
      <c r="A270" s="36"/>
      <c r="B270" s="37"/>
      <c r="C270" s="20" t="s">
        <v>27</v>
      </c>
      <c r="D270" s="35"/>
    </row>
    <row r="271" spans="1:4">
      <c r="A271" s="26"/>
      <c r="B271" s="28"/>
      <c r="C271" s="20" t="s">
        <v>28</v>
      </c>
      <c r="D271" s="30"/>
    </row>
    <row r="272" spans="1:4">
      <c r="A272" s="25">
        <v>7</v>
      </c>
      <c r="B272" s="27" t="s">
        <v>41</v>
      </c>
      <c r="C272" s="20" t="s">
        <v>30</v>
      </c>
      <c r="D272" s="29">
        <v>90000</v>
      </c>
    </row>
    <row r="273" spans="1:4">
      <c r="A273" s="36"/>
      <c r="B273" s="37"/>
      <c r="C273" s="20" t="s">
        <v>31</v>
      </c>
      <c r="D273" s="35"/>
    </row>
    <row r="274" spans="1:4">
      <c r="A274" s="36"/>
      <c r="B274" s="37"/>
      <c r="C274" s="18" t="s">
        <v>40</v>
      </c>
      <c r="D274" s="35"/>
    </row>
    <row r="275" spans="1:4">
      <c r="A275" s="36"/>
      <c r="B275" s="37"/>
      <c r="C275" s="18" t="s">
        <v>26</v>
      </c>
      <c r="D275" s="35"/>
    </row>
    <row r="276" spans="1:4">
      <c r="A276" s="36"/>
      <c r="B276" s="37"/>
      <c r="C276" s="20" t="s">
        <v>27</v>
      </c>
      <c r="D276" s="35"/>
    </row>
    <row r="277" spans="1:4">
      <c r="A277" s="26"/>
      <c r="B277" s="28"/>
      <c r="C277" s="20" t="s">
        <v>28</v>
      </c>
      <c r="D277" s="30"/>
    </row>
    <row r="278" spans="1:4">
      <c r="A278" s="25">
        <v>8</v>
      </c>
      <c r="B278" s="27" t="s">
        <v>42</v>
      </c>
      <c r="C278" s="20" t="s">
        <v>33</v>
      </c>
      <c r="D278" s="29">
        <v>100000</v>
      </c>
    </row>
    <row r="279" spans="1:4">
      <c r="A279" s="36"/>
      <c r="B279" s="37"/>
      <c r="C279" s="20" t="s">
        <v>31</v>
      </c>
      <c r="D279" s="35"/>
    </row>
    <row r="280" spans="1:4">
      <c r="A280" s="36"/>
      <c r="B280" s="37"/>
      <c r="C280" s="18" t="s">
        <v>40</v>
      </c>
      <c r="D280" s="35"/>
    </row>
    <row r="281" spans="1:4">
      <c r="A281" s="36"/>
      <c r="B281" s="37"/>
      <c r="C281" s="18" t="s">
        <v>26</v>
      </c>
      <c r="D281" s="35"/>
    </row>
    <row r="282" spans="1:4">
      <c r="A282" s="36"/>
      <c r="B282" s="37"/>
      <c r="C282" s="20" t="s">
        <v>27</v>
      </c>
      <c r="D282" s="35"/>
    </row>
    <row r="283" spans="1:4">
      <c r="A283" s="26"/>
      <c r="B283" s="28"/>
      <c r="C283" s="20" t="s">
        <v>28</v>
      </c>
      <c r="D283" s="30"/>
    </row>
    <row r="284" spans="1:4">
      <c r="A284" s="25">
        <v>9</v>
      </c>
      <c r="B284" s="27" t="s">
        <v>43</v>
      </c>
      <c r="C284" s="18" t="s">
        <v>40</v>
      </c>
      <c r="D284" s="29">
        <v>40000</v>
      </c>
    </row>
    <row r="285" spans="1:4">
      <c r="A285" s="26"/>
      <c r="B285" s="28"/>
      <c r="C285" s="20" t="s">
        <v>28</v>
      </c>
      <c r="D285" s="30"/>
    </row>
    <row r="286" spans="1:4">
      <c r="A286" s="25">
        <v>10</v>
      </c>
      <c r="B286" s="27" t="s">
        <v>44</v>
      </c>
      <c r="C286" s="18" t="s">
        <v>45</v>
      </c>
      <c r="D286" s="29">
        <v>36000</v>
      </c>
    </row>
    <row r="287" spans="1:4">
      <c r="A287" s="26"/>
      <c r="B287" s="28"/>
      <c r="C287" s="20" t="s">
        <v>28</v>
      </c>
      <c r="D287" s="30"/>
    </row>
    <row r="288" spans="1:4">
      <c r="A288" s="25">
        <v>11</v>
      </c>
      <c r="B288" s="27" t="s">
        <v>46</v>
      </c>
      <c r="C288" s="18" t="s">
        <v>47</v>
      </c>
      <c r="D288" s="29">
        <v>59000</v>
      </c>
    </row>
    <row r="289" spans="1:4">
      <c r="A289" s="26"/>
      <c r="B289" s="28"/>
      <c r="C289" s="20" t="s">
        <v>28</v>
      </c>
      <c r="D289" s="30"/>
    </row>
    <row r="290" spans="1:4">
      <c r="A290" s="25">
        <v>12</v>
      </c>
      <c r="B290" s="27" t="s">
        <v>48</v>
      </c>
      <c r="C290" s="18" t="s">
        <v>48</v>
      </c>
      <c r="D290" s="29">
        <v>45000</v>
      </c>
    </row>
    <row r="291" spans="1:4">
      <c r="A291" s="26"/>
      <c r="B291" s="28"/>
      <c r="C291" s="20" t="s">
        <v>28</v>
      </c>
      <c r="D291" s="30"/>
    </row>
    <row r="292" spans="1:4">
      <c r="A292" s="25">
        <v>13</v>
      </c>
      <c r="B292" s="27" t="s">
        <v>49</v>
      </c>
      <c r="C292" s="18" t="s">
        <v>49</v>
      </c>
      <c r="D292" s="29">
        <v>65000</v>
      </c>
    </row>
    <row r="293" spans="1:4">
      <c r="A293" s="26"/>
      <c r="B293" s="28"/>
      <c r="C293" s="20" t="s">
        <v>28</v>
      </c>
      <c r="D293" s="30"/>
    </row>
    <row r="294" spans="1:4">
      <c r="A294" s="25">
        <v>14</v>
      </c>
      <c r="B294" s="27" t="s">
        <v>50</v>
      </c>
      <c r="C294" s="18" t="s">
        <v>50</v>
      </c>
      <c r="D294" s="29">
        <v>175000</v>
      </c>
    </row>
    <row r="295" spans="1:4">
      <c r="A295" s="26"/>
      <c r="B295" s="28"/>
      <c r="C295" s="20" t="s">
        <v>28</v>
      </c>
      <c r="D295" s="30"/>
    </row>
    <row r="296" spans="1:4">
      <c r="A296" s="16">
        <v>15</v>
      </c>
      <c r="B296" s="17" t="s">
        <v>51</v>
      </c>
      <c r="C296" s="18" t="s">
        <v>52</v>
      </c>
      <c r="D296" s="19">
        <v>10500</v>
      </c>
    </row>
    <row r="297" spans="1:4">
      <c r="A297" s="16">
        <v>16</v>
      </c>
      <c r="B297" s="17" t="s">
        <v>53</v>
      </c>
      <c r="C297" s="18" t="s">
        <v>54</v>
      </c>
      <c r="D297" s="19">
        <v>10500</v>
      </c>
    </row>
    <row r="298" spans="1:4">
      <c r="A298" s="16">
        <v>17</v>
      </c>
      <c r="B298" s="17" t="s">
        <v>55</v>
      </c>
      <c r="C298" s="18" t="s">
        <v>54</v>
      </c>
      <c r="D298" s="19">
        <v>17000</v>
      </c>
    </row>
    <row r="299" spans="1:4">
      <c r="A299" s="16">
        <v>18</v>
      </c>
      <c r="B299" s="17" t="s">
        <v>56</v>
      </c>
      <c r="C299" s="18" t="s">
        <v>54</v>
      </c>
      <c r="D299" s="19">
        <v>21000</v>
      </c>
    </row>
    <row r="300" spans="1:4">
      <c r="A300" s="25">
        <v>19</v>
      </c>
      <c r="B300" s="27" t="s">
        <v>57</v>
      </c>
      <c r="C300" s="18" t="s">
        <v>58</v>
      </c>
      <c r="D300" s="29">
        <v>16200</v>
      </c>
    </row>
    <row r="301" spans="1:4">
      <c r="A301" s="26"/>
      <c r="B301" s="28"/>
      <c r="C301" s="20" t="s">
        <v>28</v>
      </c>
      <c r="D301" s="30"/>
    </row>
    <row r="302" spans="1:4">
      <c r="A302" s="25">
        <v>20</v>
      </c>
      <c r="B302" s="27" t="s">
        <v>59</v>
      </c>
      <c r="C302" s="18" t="s">
        <v>60</v>
      </c>
      <c r="D302" s="29">
        <v>16200</v>
      </c>
    </row>
    <row r="303" spans="1:4">
      <c r="A303" s="26"/>
      <c r="B303" s="28"/>
      <c r="C303" s="20" t="s">
        <v>28</v>
      </c>
      <c r="D303" s="30"/>
    </row>
    <row r="304" spans="1:4">
      <c r="A304" s="25">
        <v>21</v>
      </c>
      <c r="B304" s="27" t="s">
        <v>61</v>
      </c>
      <c r="C304" s="18" t="s">
        <v>62</v>
      </c>
      <c r="D304" s="29">
        <v>22750</v>
      </c>
    </row>
    <row r="305" spans="1:4">
      <c r="A305" s="26"/>
      <c r="B305" s="28"/>
      <c r="C305" s="20" t="s">
        <v>28</v>
      </c>
      <c r="D305" s="30"/>
    </row>
    <row r="306" spans="1:4">
      <c r="A306" s="22">
        <v>22</v>
      </c>
      <c r="B306" s="20" t="s">
        <v>63</v>
      </c>
      <c r="C306" s="20" t="s">
        <v>64</v>
      </c>
      <c r="D306" s="23">
        <v>7000</v>
      </c>
    </row>
    <row r="307" spans="1:4">
      <c r="A307" s="31">
        <v>23</v>
      </c>
      <c r="B307" s="32" t="s">
        <v>65</v>
      </c>
      <c r="C307" s="20" t="s">
        <v>33</v>
      </c>
      <c r="D307" s="29">
        <v>60000</v>
      </c>
    </row>
    <row r="308" spans="1:4">
      <c r="A308" s="31"/>
      <c r="B308" s="33"/>
      <c r="C308" s="20" t="s">
        <v>31</v>
      </c>
      <c r="D308" s="35"/>
    </row>
    <row r="309" spans="1:4">
      <c r="A309" s="31"/>
      <c r="B309" s="33"/>
      <c r="C309" s="20" t="s">
        <v>27</v>
      </c>
      <c r="D309" s="35"/>
    </row>
    <row r="310" spans="1:4">
      <c r="A310" s="31"/>
      <c r="B310" s="34"/>
      <c r="C310" s="20" t="s">
        <v>66</v>
      </c>
      <c r="D310" s="30"/>
    </row>
    <row r="312" spans="1:4" ht="15">
      <c r="B312" s="3" t="s">
        <v>67</v>
      </c>
    </row>
    <row r="313" spans="1:4">
      <c r="A313" s="15" t="s">
        <v>1</v>
      </c>
      <c r="B313" s="15" t="s">
        <v>2</v>
      </c>
    </row>
    <row r="314" spans="1:4">
      <c r="A314" s="24">
        <v>1</v>
      </c>
      <c r="B314" s="18" t="s">
        <v>68</v>
      </c>
    </row>
    <row r="315" spans="1:4">
      <c r="A315" s="24">
        <f t="shared" ref="A315:A327" si="0">A314+1</f>
        <v>2</v>
      </c>
      <c r="B315" s="24" t="s">
        <v>69</v>
      </c>
    </row>
    <row r="316" spans="1:4">
      <c r="A316" s="24">
        <f t="shared" si="0"/>
        <v>3</v>
      </c>
      <c r="B316" s="24" t="s">
        <v>70</v>
      </c>
    </row>
    <row r="317" spans="1:4">
      <c r="A317" s="24">
        <f t="shared" si="0"/>
        <v>4</v>
      </c>
      <c r="B317" s="24" t="s">
        <v>71</v>
      </c>
    </row>
    <row r="318" spans="1:4">
      <c r="A318" s="24">
        <f t="shared" si="0"/>
        <v>5</v>
      </c>
      <c r="B318" s="24" t="s">
        <v>72</v>
      </c>
    </row>
    <row r="319" spans="1:4">
      <c r="A319" s="24">
        <f t="shared" si="0"/>
        <v>6</v>
      </c>
      <c r="B319" s="24" t="s">
        <v>73</v>
      </c>
    </row>
    <row r="320" spans="1:4">
      <c r="A320" s="24">
        <f t="shared" si="0"/>
        <v>7</v>
      </c>
      <c r="B320" s="24" t="s">
        <v>74</v>
      </c>
    </row>
    <row r="321" spans="1:2">
      <c r="A321" s="24">
        <f t="shared" si="0"/>
        <v>8</v>
      </c>
      <c r="B321" s="24" t="s">
        <v>75</v>
      </c>
    </row>
    <row r="322" spans="1:2">
      <c r="A322" s="24">
        <f t="shared" si="0"/>
        <v>9</v>
      </c>
      <c r="B322" s="24" t="s">
        <v>76</v>
      </c>
    </row>
    <row r="323" spans="1:2">
      <c r="A323" s="24">
        <f t="shared" si="0"/>
        <v>10</v>
      </c>
      <c r="B323" s="24" t="s">
        <v>77</v>
      </c>
    </row>
    <row r="324" spans="1:2">
      <c r="A324" s="24">
        <f t="shared" si="0"/>
        <v>11</v>
      </c>
      <c r="B324" s="18" t="s">
        <v>78</v>
      </c>
    </row>
    <row r="325" spans="1:2">
      <c r="A325" s="24">
        <f t="shared" si="0"/>
        <v>12</v>
      </c>
      <c r="B325" s="18" t="s">
        <v>79</v>
      </c>
    </row>
    <row r="326" spans="1:2">
      <c r="A326" s="24">
        <f t="shared" si="0"/>
        <v>13</v>
      </c>
      <c r="B326" s="18" t="s">
        <v>80</v>
      </c>
    </row>
    <row r="327" spans="1:2">
      <c r="A327" s="24">
        <f t="shared" si="0"/>
        <v>14</v>
      </c>
      <c r="B327" s="24" t="s">
        <v>81</v>
      </c>
    </row>
  </sheetData>
  <mergeCells count="54">
    <mergeCell ref="A304:A305"/>
    <mergeCell ref="B304:B305"/>
    <mergeCell ref="D304:D305"/>
    <mergeCell ref="A307:A310"/>
    <mergeCell ref="B307:B310"/>
    <mergeCell ref="D307:D310"/>
    <mergeCell ref="A300:A301"/>
    <mergeCell ref="B300:B301"/>
    <mergeCell ref="D300:D301"/>
    <mergeCell ref="A302:A303"/>
    <mergeCell ref="B302:B303"/>
    <mergeCell ref="D302:D303"/>
    <mergeCell ref="A292:A293"/>
    <mergeCell ref="B292:B293"/>
    <mergeCell ref="D292:D293"/>
    <mergeCell ref="A294:A295"/>
    <mergeCell ref="B294:B295"/>
    <mergeCell ref="D294:D295"/>
    <mergeCell ref="A288:A289"/>
    <mergeCell ref="B288:B289"/>
    <mergeCell ref="D288:D289"/>
    <mergeCell ref="A290:A291"/>
    <mergeCell ref="B290:B291"/>
    <mergeCell ref="D290:D291"/>
    <mergeCell ref="A284:A285"/>
    <mergeCell ref="B284:B285"/>
    <mergeCell ref="D284:D285"/>
    <mergeCell ref="A286:A287"/>
    <mergeCell ref="B286:B287"/>
    <mergeCell ref="D286:D287"/>
    <mergeCell ref="A272:A277"/>
    <mergeCell ref="B272:B277"/>
    <mergeCell ref="D272:D277"/>
    <mergeCell ref="A278:A283"/>
    <mergeCell ref="B278:B283"/>
    <mergeCell ref="D278:D283"/>
    <mergeCell ref="A265:A266"/>
    <mergeCell ref="B265:B266"/>
    <mergeCell ref="D265:D266"/>
    <mergeCell ref="A267:A271"/>
    <mergeCell ref="B267:B271"/>
    <mergeCell ref="D267:D271"/>
    <mergeCell ref="A258:A261"/>
    <mergeCell ref="B258:B261"/>
    <mergeCell ref="D258:D261"/>
    <mergeCell ref="A262:A264"/>
    <mergeCell ref="B262:B264"/>
    <mergeCell ref="D262:D264"/>
    <mergeCell ref="A251:A253"/>
    <mergeCell ref="B251:B253"/>
    <mergeCell ref="D251:D253"/>
    <mergeCell ref="A254:A257"/>
    <mergeCell ref="B254:B257"/>
    <mergeCell ref="D254:D2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MOCHAMMAD IKHSAN</dc:creator>
  <cp:lastModifiedBy>MOCHAMMAD IKHSAN</cp:lastModifiedBy>
  <dcterms:created xsi:type="dcterms:W3CDTF">2026-07-09T13:02:47Z</dcterms:created>
  <dcterms:modified xsi:type="dcterms:W3CDTF">2026-07-13T04:49:42Z</dcterms:modified>
</cp:coreProperties>
</file>